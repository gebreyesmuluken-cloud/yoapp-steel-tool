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bre\Desktop\C_Metal_App\"/>
    </mc:Choice>
  </mc:AlternateContent>
  <xr:revisionPtr revIDLastSave="0" documentId="13_ncr:1_{3605E4D0-AE2D-443E-8029-20ECE511B9C2}" xr6:coauthVersionLast="47" xr6:coauthVersionMax="47" xr10:uidLastSave="{00000000-0000-0000-0000-000000000000}"/>
  <bookViews>
    <workbookView xWindow="-110" yWindow="-110" windowWidth="25820" windowHeight="15500" xr2:uid="{FAB3B0C4-A985-4A39-BF63-BF0FA0D503C0}"/>
  </bookViews>
  <sheets>
    <sheet name="Profi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3" i="1" l="1"/>
  <c r="G50" i="1"/>
  <c r="H50" i="1"/>
  <c r="I50" i="1"/>
  <c r="G51" i="1"/>
  <c r="H51" i="1"/>
  <c r="I51" i="1"/>
  <c r="G52" i="1"/>
  <c r="H52" i="1"/>
  <c r="I52" i="1"/>
  <c r="G53" i="1"/>
  <c r="H53" i="1"/>
  <c r="I53" i="1"/>
  <c r="G54" i="1"/>
  <c r="H54" i="1"/>
  <c r="I54" i="1"/>
  <c r="G55" i="1"/>
  <c r="H55" i="1"/>
  <c r="I55" i="1"/>
  <c r="G56" i="1"/>
  <c r="H56" i="1"/>
  <c r="I56" i="1"/>
  <c r="G57" i="1"/>
  <c r="H57" i="1"/>
  <c r="I57" i="1"/>
  <c r="G58" i="1"/>
  <c r="H58" i="1"/>
  <c r="I58" i="1"/>
  <c r="G59" i="1"/>
  <c r="H59" i="1"/>
  <c r="I59" i="1"/>
  <c r="G60" i="1"/>
  <c r="H60" i="1"/>
  <c r="I60" i="1"/>
  <c r="G61" i="1"/>
  <c r="H61" i="1"/>
  <c r="I61" i="1"/>
  <c r="G62" i="1"/>
  <c r="H62" i="1"/>
  <c r="I62" i="1"/>
  <c r="G63" i="1"/>
  <c r="H63" i="1"/>
  <c r="I63" i="1"/>
  <c r="G64" i="1"/>
  <c r="H64" i="1"/>
  <c r="I64" i="1"/>
  <c r="G65" i="1"/>
  <c r="H65" i="1"/>
  <c r="I65" i="1"/>
  <c r="G66" i="1"/>
  <c r="H66" i="1"/>
  <c r="I66" i="1"/>
  <c r="G67" i="1"/>
  <c r="H67" i="1"/>
  <c r="I67" i="1"/>
  <c r="G68" i="1"/>
  <c r="H68" i="1"/>
  <c r="I68" i="1"/>
  <c r="G69" i="1"/>
  <c r="H69" i="1"/>
  <c r="I69" i="1"/>
  <c r="G70" i="1"/>
  <c r="H70" i="1"/>
  <c r="I70" i="1"/>
  <c r="G71" i="1"/>
  <c r="H71" i="1"/>
  <c r="I71" i="1"/>
  <c r="G72" i="1"/>
  <c r="H72" i="1"/>
  <c r="I72" i="1"/>
  <c r="G73" i="1"/>
  <c r="H73" i="1"/>
  <c r="I73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B749" i="1"/>
  <c r="B748" i="1"/>
  <c r="C747" i="1"/>
  <c r="B747" i="1"/>
  <c r="B746" i="1"/>
</calcChain>
</file>

<file path=xl/sharedStrings.xml><?xml version="1.0" encoding="utf-8"?>
<sst xmlns="http://schemas.openxmlformats.org/spreadsheetml/2006/main" count="865" uniqueCount="833">
  <si>
    <t>Profile</t>
  </si>
  <si>
    <t>kgm</t>
  </si>
  <si>
    <t>m2_per_m</t>
  </si>
  <si>
    <t>HEA100</t>
  </si>
  <si>
    <t>HEA120</t>
  </si>
  <si>
    <t>HEA140</t>
  </si>
  <si>
    <t>HEA160</t>
  </si>
  <si>
    <t>HEA180</t>
  </si>
  <si>
    <t>HEA200</t>
  </si>
  <si>
    <t>HEA220</t>
  </si>
  <si>
    <t>HEA240</t>
  </si>
  <si>
    <t>HEA260</t>
  </si>
  <si>
    <t>HEA280</t>
  </si>
  <si>
    <t>HEA300</t>
  </si>
  <si>
    <t>HEA320</t>
  </si>
  <si>
    <t>HEA340</t>
  </si>
  <si>
    <t>HEA360</t>
  </si>
  <si>
    <t>HEA400</t>
  </si>
  <si>
    <t>HEA450</t>
  </si>
  <si>
    <t>HEA500</t>
  </si>
  <si>
    <t>HEA550</t>
  </si>
  <si>
    <t>HEA600</t>
  </si>
  <si>
    <t>HEA650</t>
  </si>
  <si>
    <t>HEA700</t>
  </si>
  <si>
    <t>HEA800</t>
  </si>
  <si>
    <t>HEA900</t>
  </si>
  <si>
    <t>HEA1000</t>
  </si>
  <si>
    <t>HEB100</t>
  </si>
  <si>
    <t>HEB120</t>
  </si>
  <si>
    <t>HEB140</t>
  </si>
  <si>
    <t>HEB160</t>
  </si>
  <si>
    <t>HEB180</t>
  </si>
  <si>
    <t>HEB200</t>
  </si>
  <si>
    <t>HEB220</t>
  </si>
  <si>
    <t>HEB240</t>
  </si>
  <si>
    <t>HEB260</t>
  </si>
  <si>
    <t>HEB280</t>
  </si>
  <si>
    <t>HEB300</t>
  </si>
  <si>
    <t>HEB320</t>
  </si>
  <si>
    <t>HEB340</t>
  </si>
  <si>
    <t>HEB360</t>
  </si>
  <si>
    <t>HEB400</t>
  </si>
  <si>
    <t>HEB450</t>
  </si>
  <si>
    <t>HEB500</t>
  </si>
  <si>
    <t>HEB550</t>
  </si>
  <si>
    <t>HEB600</t>
  </si>
  <si>
    <t>HEB650</t>
  </si>
  <si>
    <t>HEB700</t>
  </si>
  <si>
    <t>HEB800</t>
  </si>
  <si>
    <t>HEB900</t>
  </si>
  <si>
    <t>HEB1000</t>
  </si>
  <si>
    <t>HEM100</t>
  </si>
  <si>
    <t>HEM120</t>
  </si>
  <si>
    <t>HEM140</t>
  </si>
  <si>
    <t>HEM160</t>
  </si>
  <si>
    <t>HEM180</t>
  </si>
  <si>
    <t>HEM200</t>
  </si>
  <si>
    <t>HEM220</t>
  </si>
  <si>
    <t>HEM240</t>
  </si>
  <si>
    <t>HEM260</t>
  </si>
  <si>
    <t>HEM280</t>
  </si>
  <si>
    <t>HEM300</t>
  </si>
  <si>
    <t>HEM320</t>
  </si>
  <si>
    <t>HEM340</t>
  </si>
  <si>
    <t>HEM360</t>
  </si>
  <si>
    <t>HEM400</t>
  </si>
  <si>
    <t>HEM450</t>
  </si>
  <si>
    <t>HEM500</t>
  </si>
  <si>
    <t>HEM550</t>
  </si>
  <si>
    <t>HEM600</t>
  </si>
  <si>
    <t>HEM650</t>
  </si>
  <si>
    <t>HEM700</t>
  </si>
  <si>
    <t>HEM800</t>
  </si>
  <si>
    <t>HEM900</t>
  </si>
  <si>
    <t>HEM1000</t>
  </si>
  <si>
    <t>IPE80</t>
  </si>
  <si>
    <t>IPE100</t>
  </si>
  <si>
    <t>IPE120</t>
  </si>
  <si>
    <t>IPE140</t>
  </si>
  <si>
    <t>IPE160</t>
  </si>
  <si>
    <t>IPE180</t>
  </si>
  <si>
    <t>IPE200</t>
  </si>
  <si>
    <t>IPE220</t>
  </si>
  <si>
    <t>IPE240</t>
  </si>
  <si>
    <t>IPE270</t>
  </si>
  <si>
    <t>IPE300</t>
  </si>
  <si>
    <t>IPE330</t>
  </si>
  <si>
    <t>IPE360</t>
  </si>
  <si>
    <t>IPE400</t>
  </si>
  <si>
    <t>IPE450</t>
  </si>
  <si>
    <t>IPE500</t>
  </si>
  <si>
    <t>IPE550</t>
  </si>
  <si>
    <t>IPE600</t>
  </si>
  <si>
    <t>IPN80</t>
  </si>
  <si>
    <t>IPN100</t>
  </si>
  <si>
    <t>IPN120</t>
  </si>
  <si>
    <t>IPN140</t>
  </si>
  <si>
    <t>IPN160</t>
  </si>
  <si>
    <t>IPN180</t>
  </si>
  <si>
    <t>IPN200</t>
  </si>
  <si>
    <t>IPN220</t>
  </si>
  <si>
    <t>IPN240</t>
  </si>
  <si>
    <t>IPN260</t>
  </si>
  <si>
    <t>IPN280</t>
  </si>
  <si>
    <t>IPN300</t>
  </si>
  <si>
    <t>IPN320</t>
  </si>
  <si>
    <t>IPN340</t>
  </si>
  <si>
    <t>IPN360</t>
  </si>
  <si>
    <t>IPN380</t>
  </si>
  <si>
    <t>IPN400</t>
  </si>
  <si>
    <t>IPN450</t>
  </si>
  <si>
    <t>IPN500</t>
  </si>
  <si>
    <t>IPN550</t>
  </si>
  <si>
    <t>IPN600</t>
  </si>
  <si>
    <t>K/40/40/1,5</t>
  </si>
  <si>
    <t>K40/40/2</t>
  </si>
  <si>
    <t>K40/40/2,5</t>
  </si>
  <si>
    <t>K40/40/3</t>
  </si>
  <si>
    <t>K40/40/4</t>
  </si>
  <si>
    <t>K45/45/2</t>
  </si>
  <si>
    <t>K45/45/3</t>
  </si>
  <si>
    <t>K50/50/2</t>
  </si>
  <si>
    <t>K50/50/3</t>
  </si>
  <si>
    <t>K50/50/4</t>
  </si>
  <si>
    <t>K50/50/5</t>
  </si>
  <si>
    <t>K50/50/6</t>
  </si>
  <si>
    <t>K50/50/8</t>
  </si>
  <si>
    <t>K60/60/2</t>
  </si>
  <si>
    <t>K60/60/3</t>
  </si>
  <si>
    <t>K60/60/4</t>
  </si>
  <si>
    <t>K60/60/5</t>
  </si>
  <si>
    <t>K60/60/6</t>
  </si>
  <si>
    <t>K60/60/8</t>
  </si>
  <si>
    <t>K70/70/2</t>
  </si>
  <si>
    <t>K70/70/3</t>
  </si>
  <si>
    <t>K70/70/4</t>
  </si>
  <si>
    <t>K70/70/5</t>
  </si>
  <si>
    <t>K70/70/6</t>
  </si>
  <si>
    <t>K70/70/8</t>
  </si>
  <si>
    <t>K80/80/3</t>
  </si>
  <si>
    <t>K80/80/4</t>
  </si>
  <si>
    <t>K80/80/5</t>
  </si>
  <si>
    <t>K80/80/6</t>
  </si>
  <si>
    <t>K80/80/6,3</t>
  </si>
  <si>
    <t>K80/80/7,1</t>
  </si>
  <si>
    <t>K80/80/8</t>
  </si>
  <si>
    <t>K80/80/10</t>
  </si>
  <si>
    <t>K90/90/3</t>
  </si>
  <si>
    <t>K90/90/4</t>
  </si>
  <si>
    <t>K90/90/5</t>
  </si>
  <si>
    <t>K90/90/6</t>
  </si>
  <si>
    <t>K90/90/6,3</t>
  </si>
  <si>
    <t>K90/90/8</t>
  </si>
  <si>
    <t>K90/90/10</t>
  </si>
  <si>
    <t>K100/100/3</t>
  </si>
  <si>
    <t>K100/100/4</t>
  </si>
  <si>
    <t>K100/100/5</t>
  </si>
  <si>
    <t>K100/100/6</t>
  </si>
  <si>
    <t>K100/100/7</t>
  </si>
  <si>
    <t>K100/100/8</t>
  </si>
  <si>
    <t>K100/100/10</t>
  </si>
  <si>
    <t>K110/110/4</t>
  </si>
  <si>
    <t>K110/110/5</t>
  </si>
  <si>
    <t>K110/110/8</t>
  </si>
  <si>
    <t>K110/110/10</t>
  </si>
  <si>
    <t>K120/120/3</t>
  </si>
  <si>
    <t>K120/120/4</t>
  </si>
  <si>
    <t>K120/120/5</t>
  </si>
  <si>
    <t>K120/120/6</t>
  </si>
  <si>
    <t>K120/120/6,3</t>
  </si>
  <si>
    <t>K120/120/8</t>
  </si>
  <si>
    <t>K120/120/10</t>
  </si>
  <si>
    <t>K120/120/12</t>
  </si>
  <si>
    <t>K140/140/4</t>
  </si>
  <si>
    <t>K140/140/5</t>
  </si>
  <si>
    <t>K140/140/8</t>
  </si>
  <si>
    <t>K140/140/10</t>
  </si>
  <si>
    <t>K140/140/12,5</t>
  </si>
  <si>
    <t>K150/150/3</t>
  </si>
  <si>
    <t>K150/150/4</t>
  </si>
  <si>
    <t>K150/150/5</t>
  </si>
  <si>
    <t>K150/150/5,6</t>
  </si>
  <si>
    <t>K150/150/6</t>
  </si>
  <si>
    <t>K150/150/7</t>
  </si>
  <si>
    <t>K150/150/8</t>
  </si>
  <si>
    <t>K150/150/8,8</t>
  </si>
  <si>
    <t>K150/150/10</t>
  </si>
  <si>
    <t>K150/150/12,5</t>
  </si>
  <si>
    <t>K160/160/5</t>
  </si>
  <si>
    <t>K160/160/8</t>
  </si>
  <si>
    <t>K160/160/10</t>
  </si>
  <si>
    <t>K160/160/12</t>
  </si>
  <si>
    <t>K180/180/5</t>
  </si>
  <si>
    <t>K180/180/6</t>
  </si>
  <si>
    <t>K180/180/6,3</t>
  </si>
  <si>
    <t>K180/180/8</t>
  </si>
  <si>
    <t>K180/180/10</t>
  </si>
  <si>
    <t>K180/180/12,5</t>
  </si>
  <si>
    <t>K200/200/6</t>
  </si>
  <si>
    <t>K200/200/8</t>
  </si>
  <si>
    <t>K200/200/10</t>
  </si>
  <si>
    <t>K200/200/12,5</t>
  </si>
  <si>
    <t>K200/200/16</t>
  </si>
  <si>
    <t>K220/220/4</t>
  </si>
  <si>
    <t>K220/220/5</t>
  </si>
  <si>
    <t>K220/220/6</t>
  </si>
  <si>
    <t>K220/220/8</t>
  </si>
  <si>
    <t>K220/220/10</t>
  </si>
  <si>
    <t>K220/220/12,5</t>
  </si>
  <si>
    <t>K220/220/16</t>
  </si>
  <si>
    <t>K250/250/6</t>
  </si>
  <si>
    <t>K250/250/6,3</t>
  </si>
  <si>
    <t>K250/250/8</t>
  </si>
  <si>
    <t>K250/250/10</t>
  </si>
  <si>
    <t>K250/250/12</t>
  </si>
  <si>
    <t>K250/250/12,5</t>
  </si>
  <si>
    <t>K250/250/16</t>
  </si>
  <si>
    <t>K260/260/4</t>
  </si>
  <si>
    <t>K260/260/5</t>
  </si>
  <si>
    <t>K260/260/6</t>
  </si>
  <si>
    <t>K260/260/8</t>
  </si>
  <si>
    <t>K300/300/6</t>
  </si>
  <si>
    <t>K300/300/8</t>
  </si>
  <si>
    <t>K300/300/10</t>
  </si>
  <si>
    <t>K300/300/12,5</t>
  </si>
  <si>
    <t>K300/300/16</t>
  </si>
  <si>
    <t>K350/350/8</t>
  </si>
  <si>
    <t>K350/350/10</t>
  </si>
  <si>
    <t>K350/350/12,5</t>
  </si>
  <si>
    <t>K350/350/16</t>
  </si>
  <si>
    <t>K400/400/16</t>
  </si>
  <si>
    <t>K400/400/20</t>
  </si>
  <si>
    <t>K60/40/1,5</t>
  </si>
  <si>
    <t>K60/40/2</t>
  </si>
  <si>
    <t>K60/40/2,5</t>
  </si>
  <si>
    <t>K60/40/3</t>
  </si>
  <si>
    <t>K60/40/4</t>
  </si>
  <si>
    <t>K60/40/5</t>
  </si>
  <si>
    <t>K60/50/2</t>
  </si>
  <si>
    <t>K60/50/3</t>
  </si>
  <si>
    <t>K80/40/2</t>
  </si>
  <si>
    <t>K80/40/3</t>
  </si>
  <si>
    <t>K80/40/4</t>
  </si>
  <si>
    <t>K80/40/5</t>
  </si>
  <si>
    <t>K80/50/3</t>
  </si>
  <si>
    <t>K80/50/4</t>
  </si>
  <si>
    <t>K80/50/5</t>
  </si>
  <si>
    <t>K80/50/6</t>
  </si>
  <si>
    <t>K80/60/4</t>
  </si>
  <si>
    <t>K80/60/5</t>
  </si>
  <si>
    <t>K80/60/6</t>
  </si>
  <si>
    <t>K80/60/8</t>
  </si>
  <si>
    <t>K80/60/10</t>
  </si>
  <si>
    <t>K100/50/3</t>
  </si>
  <si>
    <t>K100/50/4</t>
  </si>
  <si>
    <t>K100/50/5</t>
  </si>
  <si>
    <t>K100/50/6</t>
  </si>
  <si>
    <t>K100/50/8</t>
  </si>
  <si>
    <t>K100/50/10</t>
  </si>
  <si>
    <t>K120/40/3</t>
  </si>
  <si>
    <t>K120/40/4</t>
  </si>
  <si>
    <t>K120/50/3</t>
  </si>
  <si>
    <t>K120/50/5</t>
  </si>
  <si>
    <t>K120/60/3</t>
  </si>
  <si>
    <t>K120/60/4</t>
  </si>
  <si>
    <t>K120/60/5</t>
  </si>
  <si>
    <t>K120/60/6</t>
  </si>
  <si>
    <t>K120/60/8</t>
  </si>
  <si>
    <t>K120/60/10</t>
  </si>
  <si>
    <t>K120/80/3</t>
  </si>
  <si>
    <t>K120/80/4</t>
  </si>
  <si>
    <t>K120/80/5</t>
  </si>
  <si>
    <t>K120/80/6</t>
  </si>
  <si>
    <t>K120/80/8</t>
  </si>
  <si>
    <t>K120/80/10</t>
  </si>
  <si>
    <t>K120/80/12,5</t>
  </si>
  <si>
    <t>K140/70/4</t>
  </si>
  <si>
    <t>K140/70/5</t>
  </si>
  <si>
    <t>K140/70/6</t>
  </si>
  <si>
    <t>K140/70/10</t>
  </si>
  <si>
    <t>K150/100/4</t>
  </si>
  <si>
    <t>K150/100/5</t>
  </si>
  <si>
    <t>K150/100/6</t>
  </si>
  <si>
    <t>K150/100/8</t>
  </si>
  <si>
    <t>K150/100/10</t>
  </si>
  <si>
    <t>K150/100/12,5</t>
  </si>
  <si>
    <t>K160/80/4</t>
  </si>
  <si>
    <t>K160/80/5</t>
  </si>
  <si>
    <t>K160/80/7</t>
  </si>
  <si>
    <t>K200/100/5</t>
  </si>
  <si>
    <t>K200/100/6</t>
  </si>
  <si>
    <t>K200/100/8</t>
  </si>
  <si>
    <t>K200/100/10</t>
  </si>
  <si>
    <t>K200/100/12,5</t>
  </si>
  <si>
    <t>K200/100/16</t>
  </si>
  <si>
    <t>K250/150/6</t>
  </si>
  <si>
    <t>K300/100/8</t>
  </si>
  <si>
    <t>K300/200/10</t>
  </si>
  <si>
    <t>K400/200/10</t>
  </si>
  <si>
    <t>K400/300/8</t>
  </si>
  <si>
    <t>K400/300/10</t>
  </si>
  <si>
    <t>K400/300/12,5</t>
  </si>
  <si>
    <t>K400/300/16</t>
  </si>
  <si>
    <t>L25/25/2,5</t>
  </si>
  <si>
    <t>L25/25/3</t>
  </si>
  <si>
    <t>L25/25/4</t>
  </si>
  <si>
    <t>L25/25/5</t>
  </si>
  <si>
    <t>L30/30/2,5</t>
  </si>
  <si>
    <t>L30/30/3</t>
  </si>
  <si>
    <t>L30/30/4</t>
  </si>
  <si>
    <t>L30 x 30 x 5</t>
  </si>
  <si>
    <t>L35/35/3</t>
  </si>
  <si>
    <t>L35/35/3,5</t>
  </si>
  <si>
    <t>L35/35/4</t>
  </si>
  <si>
    <t>L35/35/5</t>
  </si>
  <si>
    <t>L40/40/3</t>
  </si>
  <si>
    <t>L40/40/4</t>
  </si>
  <si>
    <t>L40/40/5</t>
  </si>
  <si>
    <t>L40/40/6</t>
  </si>
  <si>
    <t>L45/45/3</t>
  </si>
  <si>
    <t>L45/45/4</t>
  </si>
  <si>
    <t>L45/45/4.5</t>
  </si>
  <si>
    <t>L45/45/5</t>
  </si>
  <si>
    <t>L45/45/6</t>
  </si>
  <si>
    <t>L50/50/3</t>
  </si>
  <si>
    <t>L50/50/4</t>
  </si>
  <si>
    <t>L50/50/5</t>
  </si>
  <si>
    <t>L50/50/6</t>
  </si>
  <si>
    <t>L50/50/7</t>
  </si>
  <si>
    <t>L50/50/8</t>
  </si>
  <si>
    <t>L55/55/4</t>
  </si>
  <si>
    <t>L55/55/5</t>
  </si>
  <si>
    <t>L55/55/6</t>
  </si>
  <si>
    <t>L55/55/7</t>
  </si>
  <si>
    <t>L55/55/8</t>
  </si>
  <si>
    <t>L60/ 60/4</t>
  </si>
  <si>
    <t>L60/60/5</t>
  </si>
  <si>
    <t>L60/60/6</t>
  </si>
  <si>
    <t>L60/60/7</t>
  </si>
  <si>
    <t>L60/60/8</t>
  </si>
  <si>
    <t>L60/60/10</t>
  </si>
  <si>
    <t>L65/65/5</t>
  </si>
  <si>
    <t>L65/65/6</t>
  </si>
  <si>
    <t>L65/65/7</t>
  </si>
  <si>
    <t>L65/65/8</t>
  </si>
  <si>
    <t>L70/70/5</t>
  </si>
  <si>
    <t>L70/70/6</t>
  </si>
  <si>
    <t>L70/70/7</t>
  </si>
  <si>
    <t>L70/70/8</t>
  </si>
  <si>
    <t>L70/70/9</t>
  </si>
  <si>
    <t>L70/70/10</t>
  </si>
  <si>
    <t>L75/75/5</t>
  </si>
  <si>
    <t>L75/75/6</t>
  </si>
  <si>
    <t>L75/75/7</t>
  </si>
  <si>
    <t>L75/75/8</t>
  </si>
  <si>
    <t>L75/75/10</t>
  </si>
  <si>
    <t>L80/80/6</t>
  </si>
  <si>
    <t>L80/80/7</t>
  </si>
  <si>
    <t>L80/80/8</t>
  </si>
  <si>
    <t>L80/80/10</t>
  </si>
  <si>
    <t>L90/90/6</t>
  </si>
  <si>
    <t>L90/90/7</t>
  </si>
  <si>
    <t>L90/90/8</t>
  </si>
  <si>
    <t>L90/90/9</t>
  </si>
  <si>
    <t>L90/90/10</t>
  </si>
  <si>
    <t>L90/90/11</t>
  </si>
  <si>
    <t>L100/100/6</t>
  </si>
  <si>
    <t>L100/100/7</t>
  </si>
  <si>
    <t>L100/100/8</t>
  </si>
  <si>
    <t>L100/100/10</t>
  </si>
  <si>
    <t>L100/100/12</t>
  </si>
  <si>
    <t>L100/100/14</t>
  </si>
  <si>
    <t>L100/100/15</t>
  </si>
  <si>
    <t>L110/110/10</t>
  </si>
  <si>
    <t>L110/110/12</t>
  </si>
  <si>
    <t>L110/110/14</t>
  </si>
  <si>
    <t>L120/120/8</t>
  </si>
  <si>
    <t>L120/120/10</t>
  </si>
  <si>
    <t>L120/120/11</t>
  </si>
  <si>
    <t>L120/120/12</t>
  </si>
  <si>
    <t>L120/120/13</t>
  </si>
  <si>
    <t>L120/120/15</t>
  </si>
  <si>
    <t>L130/130/12</t>
  </si>
  <si>
    <t>L140/140/10</t>
  </si>
  <si>
    <t>L140/140/13</t>
  </si>
  <si>
    <t>L150/150/10</t>
  </si>
  <si>
    <t>L150/150/12</t>
  </si>
  <si>
    <t>L150/150/14</t>
  </si>
  <si>
    <t>L150/150/15</t>
  </si>
  <si>
    <t>L150/150/18</t>
  </si>
  <si>
    <t>L/160/160/14</t>
  </si>
  <si>
    <t>L160/160/15</t>
  </si>
  <si>
    <t>L160/160/16</t>
  </si>
  <si>
    <t>L160/160/17</t>
  </si>
  <si>
    <t>L180/180/13</t>
  </si>
  <si>
    <t>L 180/180/14</t>
  </si>
  <si>
    <t>L180/180/15</t>
  </si>
  <si>
    <t>L180/180/16</t>
  </si>
  <si>
    <t>L180/180/17</t>
  </si>
  <si>
    <t>L180/180/18</t>
  </si>
  <si>
    <t>L180/180/19</t>
  </si>
  <si>
    <t>L180/180/20</t>
  </si>
  <si>
    <t>L200/200/15</t>
  </si>
  <si>
    <t>L200/200/16</t>
  </si>
  <si>
    <t>L200/200/17</t>
  </si>
  <si>
    <t>L200/200/18</t>
  </si>
  <si>
    <t>L200/200/19</t>
  </si>
  <si>
    <t>L200/200/20</t>
  </si>
  <si>
    <t>L200/200/21</t>
  </si>
  <si>
    <t>L200/200/22</t>
  </si>
  <si>
    <t>L200/200/23</t>
  </si>
  <si>
    <t>L200/200/24</t>
  </si>
  <si>
    <t>L200/200/25</t>
  </si>
  <si>
    <t>L200/200/26</t>
  </si>
  <si>
    <t>L250/250/20</t>
  </si>
  <si>
    <t>L250/250/21</t>
  </si>
  <si>
    <t>L250/250/22</t>
  </si>
  <si>
    <t>L250/250/23</t>
  </si>
  <si>
    <t>L250/250/24</t>
  </si>
  <si>
    <t>L250/250/25</t>
  </si>
  <si>
    <t>L250/250/26</t>
  </si>
  <si>
    <t>L250/250/27</t>
  </si>
  <si>
    <t>L250/250/28</t>
  </si>
  <si>
    <t>L70x50x6</t>
  </si>
  <si>
    <t>L100x75x8</t>
  </si>
  <si>
    <t>L120/80/8</t>
  </si>
  <si>
    <t>L120/80/10</t>
  </si>
  <si>
    <t>L120/80/12</t>
  </si>
  <si>
    <t>L130/65/8</t>
  </si>
  <si>
    <t>L130/65/10</t>
  </si>
  <si>
    <t>L150/90/10</t>
  </si>
  <si>
    <t>L150/90/11</t>
  </si>
  <si>
    <t>L150/100/10</t>
  </si>
  <si>
    <t>L150/100/12</t>
  </si>
  <si>
    <t>L150/100/14</t>
  </si>
  <si>
    <t>L160/80/10</t>
  </si>
  <si>
    <t>L160/80/12</t>
  </si>
  <si>
    <t>L200/100/10</t>
  </si>
  <si>
    <t>L200/100/12</t>
  </si>
  <si>
    <t>L200/100/14</t>
  </si>
  <si>
    <t>PL1</t>
  </si>
  <si>
    <t>PL2</t>
  </si>
  <si>
    <t>PL3</t>
  </si>
  <si>
    <t>PL4</t>
  </si>
  <si>
    <t>PL5</t>
  </si>
  <si>
    <t>PL6</t>
  </si>
  <si>
    <t>PL7</t>
  </si>
  <si>
    <t>PL8</t>
  </si>
  <si>
    <t>PL10</t>
  </si>
  <si>
    <t>PL12</t>
  </si>
  <si>
    <t>PL15</t>
  </si>
  <si>
    <t>PL18</t>
  </si>
  <si>
    <t>PL20</t>
  </si>
  <si>
    <t>PL25</t>
  </si>
  <si>
    <t>PL30</t>
  </si>
  <si>
    <t>PL35</t>
  </si>
  <si>
    <t>PL40</t>
  </si>
  <si>
    <t>P 45</t>
  </si>
  <si>
    <t>PL50</t>
  </si>
  <si>
    <t>R33,7/2,65</t>
  </si>
  <si>
    <t>R42,4/2,65</t>
  </si>
  <si>
    <t>R42,4/3,2</t>
  </si>
  <si>
    <t>R70/4</t>
  </si>
  <si>
    <t>R76,1/4</t>
  </si>
  <si>
    <t>R101,6/4</t>
  </si>
  <si>
    <t>R101,6/4,5</t>
  </si>
  <si>
    <t>R101,6/5</t>
  </si>
  <si>
    <t>R101,6/5,6</t>
  </si>
  <si>
    <t>R101,6/6,3</t>
  </si>
  <si>
    <t>R101,6/7,1</t>
  </si>
  <si>
    <t>R101,6/8</t>
  </si>
  <si>
    <t xml:space="preserve">R101,6/8,8 </t>
  </si>
  <si>
    <t>R101,6/10</t>
  </si>
  <si>
    <t>R101,6/12,5</t>
  </si>
  <si>
    <t>R108/4</t>
  </si>
  <si>
    <t>R108/4,5</t>
  </si>
  <si>
    <t>R 108 x 5</t>
  </si>
  <si>
    <t>R108/5,6</t>
  </si>
  <si>
    <t>R108/6,3</t>
  </si>
  <si>
    <t>R108/7,1</t>
  </si>
  <si>
    <t>R108/8</t>
  </si>
  <si>
    <t xml:space="preserve">R108/8,8 </t>
  </si>
  <si>
    <t>R108/10</t>
  </si>
  <si>
    <t>R108/12,5</t>
  </si>
  <si>
    <t>R114,3/4</t>
  </si>
  <si>
    <t>R114,3/4,5</t>
  </si>
  <si>
    <t>R114,3/5</t>
  </si>
  <si>
    <t>R114,3/5,6</t>
  </si>
  <si>
    <t>R114,3/6,3</t>
  </si>
  <si>
    <t>R114,3/7,1</t>
  </si>
  <si>
    <t>R114,3/8</t>
  </si>
  <si>
    <t xml:space="preserve">R114,3/8,8 </t>
  </si>
  <si>
    <t>R114,3/10</t>
  </si>
  <si>
    <t>R114,3/12,5</t>
  </si>
  <si>
    <t>R121/4</t>
  </si>
  <si>
    <t>R121/4,5</t>
  </si>
  <si>
    <t>R121/5</t>
  </si>
  <si>
    <t>R121/5,6</t>
  </si>
  <si>
    <t>R121/6,3</t>
  </si>
  <si>
    <t>R121/7,1</t>
  </si>
  <si>
    <t>R121/8</t>
  </si>
  <si>
    <t xml:space="preserve">R121/8,8 </t>
  </si>
  <si>
    <t>R121/10</t>
  </si>
  <si>
    <t>R121/12,5</t>
  </si>
  <si>
    <t>R127/4</t>
  </si>
  <si>
    <t>R127/4,5</t>
  </si>
  <si>
    <t>R127/5</t>
  </si>
  <si>
    <t>R127/5,6</t>
  </si>
  <si>
    <t>R127/6,3</t>
  </si>
  <si>
    <t>R127/7,1</t>
  </si>
  <si>
    <t>R127/8</t>
  </si>
  <si>
    <t xml:space="preserve">R127/8,8 </t>
  </si>
  <si>
    <t>R127/10</t>
  </si>
  <si>
    <t>R127/12,5</t>
  </si>
  <si>
    <t>R133/4</t>
  </si>
  <si>
    <t>R133/4,5</t>
  </si>
  <si>
    <t>R133 /5</t>
  </si>
  <si>
    <t>R133/5,6</t>
  </si>
  <si>
    <t>R133/6,3</t>
  </si>
  <si>
    <t>R133/7,1</t>
  </si>
  <si>
    <t>R133/8</t>
  </si>
  <si>
    <t xml:space="preserve">R133/8,8 </t>
  </si>
  <si>
    <t>R133/10</t>
  </si>
  <si>
    <t>R133/12,5</t>
  </si>
  <si>
    <t>R139,7/4</t>
  </si>
  <si>
    <t>R139,7/4,5</t>
  </si>
  <si>
    <t>R139,7/5</t>
  </si>
  <si>
    <t>R139,7/5,6</t>
  </si>
  <si>
    <t>R139,7/6,3</t>
  </si>
  <si>
    <t>R139,7/7,1</t>
  </si>
  <si>
    <t>R139,7/8</t>
  </si>
  <si>
    <t>R139,7/8,8</t>
  </si>
  <si>
    <t>R139,7/10</t>
  </si>
  <si>
    <t>R139,7/12,5</t>
  </si>
  <si>
    <t>R152,4/4</t>
  </si>
  <si>
    <t>R152,4/4,5</t>
  </si>
  <si>
    <t>R152,4/5</t>
  </si>
  <si>
    <t>R152,4/5,6</t>
  </si>
  <si>
    <t>R152,4/6,3</t>
  </si>
  <si>
    <t>R152,4/7,1</t>
  </si>
  <si>
    <t>R152,4/8</t>
  </si>
  <si>
    <t>R152,4/8,8</t>
  </si>
  <si>
    <t>R152,4/10</t>
  </si>
  <si>
    <t>R152,4/12,5</t>
  </si>
  <si>
    <t>R159/4</t>
  </si>
  <si>
    <t>R159/4,5</t>
  </si>
  <si>
    <t>R159/5</t>
  </si>
  <si>
    <t>R159/5,6</t>
  </si>
  <si>
    <t>R159/6,3</t>
  </si>
  <si>
    <t>R159/7,1</t>
  </si>
  <si>
    <t>R159/8</t>
  </si>
  <si>
    <t>R159/8,8</t>
  </si>
  <si>
    <t>R159/10</t>
  </si>
  <si>
    <t>R159/12,5</t>
  </si>
  <si>
    <t>R165,1/4</t>
  </si>
  <si>
    <t>R165,1/4,5</t>
  </si>
  <si>
    <t>R165,1/5</t>
  </si>
  <si>
    <t>R165,1/5,6</t>
  </si>
  <si>
    <t>R165,1/6,3</t>
  </si>
  <si>
    <t>R165,1/7,1</t>
  </si>
  <si>
    <t>R165,1/8</t>
  </si>
  <si>
    <t>R165,1/8,8</t>
  </si>
  <si>
    <t>R165,1/10</t>
  </si>
  <si>
    <t>R165,1/12,5</t>
  </si>
  <si>
    <t>R168,3/4</t>
  </si>
  <si>
    <t>R168,3/4,5</t>
  </si>
  <si>
    <t>R168,3/5</t>
  </si>
  <si>
    <t>R168,3/5,6</t>
  </si>
  <si>
    <t>R168,3/6</t>
  </si>
  <si>
    <t>R168,3/6,3</t>
  </si>
  <si>
    <t>R168,3/7,1</t>
  </si>
  <si>
    <t>R168,3/8</t>
  </si>
  <si>
    <t>R168,3/8,8</t>
  </si>
  <si>
    <t>R168,3/10</t>
  </si>
  <si>
    <t>R168,3/12,5</t>
  </si>
  <si>
    <t>R177,8/4</t>
  </si>
  <si>
    <t>R177,8/4,5</t>
  </si>
  <si>
    <t>R177,8/5</t>
  </si>
  <si>
    <t>R177,8/5,6</t>
  </si>
  <si>
    <t>R177,8/6</t>
  </si>
  <si>
    <t>R177,8/6,3</t>
  </si>
  <si>
    <t>R177,8/7,1</t>
  </si>
  <si>
    <t>R177,8/8</t>
  </si>
  <si>
    <t>R177,8/8,8</t>
  </si>
  <si>
    <t>R177,8/10</t>
  </si>
  <si>
    <t>R177,8/12,5</t>
  </si>
  <si>
    <t>R193,7/4</t>
  </si>
  <si>
    <t>R193,7/4,5</t>
  </si>
  <si>
    <t>R193,7/5</t>
  </si>
  <si>
    <t>R193,7/5,6</t>
  </si>
  <si>
    <t>R193,7/6</t>
  </si>
  <si>
    <t>R193,7/6,3</t>
  </si>
  <si>
    <t>R193,7/7,1</t>
  </si>
  <si>
    <t>R193,7/8</t>
  </si>
  <si>
    <t>R193,7/ 8,8</t>
  </si>
  <si>
    <t>R193,7/10</t>
  </si>
  <si>
    <t>R193,7/12</t>
  </si>
  <si>
    <t>R193,7/12,5</t>
  </si>
  <si>
    <t>R193,7/17,5</t>
  </si>
  <si>
    <t>R219,1/4</t>
  </si>
  <si>
    <t>R219,1/4,5</t>
  </si>
  <si>
    <t>R219,1/5</t>
  </si>
  <si>
    <t>R219,1/5,6</t>
  </si>
  <si>
    <t>R219,1/5,9</t>
  </si>
  <si>
    <t>R219,1/6</t>
  </si>
  <si>
    <t>R219,1/6,3</t>
  </si>
  <si>
    <t>R219,1/7,1</t>
  </si>
  <si>
    <t>R219,1/8</t>
  </si>
  <si>
    <t>R219,1/8,8</t>
  </si>
  <si>
    <t>R219,1/10</t>
  </si>
  <si>
    <t>R219,1/12</t>
  </si>
  <si>
    <t>R219,1/12,5</t>
  </si>
  <si>
    <t>R244,5/4</t>
  </si>
  <si>
    <t>R244,5/4,5</t>
  </si>
  <si>
    <t>R244,5/5</t>
  </si>
  <si>
    <t>R244,5/5,6</t>
  </si>
  <si>
    <t>R244,5/6,3</t>
  </si>
  <si>
    <t>R244,5/7,1</t>
  </si>
  <si>
    <t>R244,5/8</t>
  </si>
  <si>
    <t>R244,5/8,8</t>
  </si>
  <si>
    <t>R244,5/10</t>
  </si>
  <si>
    <t>R244,5/12,5</t>
  </si>
  <si>
    <t>R244,5/16</t>
  </si>
  <si>
    <t>R267/4</t>
  </si>
  <si>
    <t>R267/4,5</t>
  </si>
  <si>
    <t>R267/5</t>
  </si>
  <si>
    <t>R267/5,6</t>
  </si>
  <si>
    <t>R267/6,3</t>
  </si>
  <si>
    <t>R267/7,1</t>
  </si>
  <si>
    <t>R267/8</t>
  </si>
  <si>
    <t>R267/8,8</t>
  </si>
  <si>
    <t>R267/10</t>
  </si>
  <si>
    <t>R267/12,5</t>
  </si>
  <si>
    <t>R273/4</t>
  </si>
  <si>
    <t>R273/4,5</t>
  </si>
  <si>
    <t>R273/5</t>
  </si>
  <si>
    <t>R273/5,6</t>
  </si>
  <si>
    <t>R273/6,3</t>
  </si>
  <si>
    <t>R273/7,1</t>
  </si>
  <si>
    <t>R273/8</t>
  </si>
  <si>
    <t>R273/8,8</t>
  </si>
  <si>
    <t>R273/10</t>
  </si>
  <si>
    <t>R273/12,5</t>
  </si>
  <si>
    <t>R273/25</t>
  </si>
  <si>
    <t>R298,5/4</t>
  </si>
  <si>
    <t>R298,5/4,5</t>
  </si>
  <si>
    <t>R298,5/5</t>
  </si>
  <si>
    <t>R298,5/5,6</t>
  </si>
  <si>
    <t>R298,5/6,3</t>
  </si>
  <si>
    <t>R298,5/7,1</t>
  </si>
  <si>
    <t>R298,5/8</t>
  </si>
  <si>
    <t>R298,5/8,8</t>
  </si>
  <si>
    <t>R298,5/10</t>
  </si>
  <si>
    <t>R298,5/12,5</t>
  </si>
  <si>
    <t>R298,5/20</t>
  </si>
  <si>
    <t>R323,9/4</t>
  </si>
  <si>
    <t>R323,9/4,5</t>
  </si>
  <si>
    <t>R323,9/5</t>
  </si>
  <si>
    <t>R323,9/5,6</t>
  </si>
  <si>
    <t>R323,9/6,3</t>
  </si>
  <si>
    <t>R323,9/7,1</t>
  </si>
  <si>
    <t>R323,9/8</t>
  </si>
  <si>
    <t>R323,9/8,8</t>
  </si>
  <si>
    <t>R323,9/10</t>
  </si>
  <si>
    <t>R323,9/12,5</t>
  </si>
  <si>
    <t>R355,6/4</t>
  </si>
  <si>
    <t>R355,6/4,5</t>
  </si>
  <si>
    <t>R355,6/5</t>
  </si>
  <si>
    <t>R355,6/5,6</t>
  </si>
  <si>
    <t>R355,6/6,3</t>
  </si>
  <si>
    <t>R355,6/7,1</t>
  </si>
  <si>
    <t>R355,6/8</t>
  </si>
  <si>
    <t>R355,6/8,8</t>
  </si>
  <si>
    <t>R355,6/10</t>
  </si>
  <si>
    <t>R355,6/12,5</t>
  </si>
  <si>
    <t>R368/4</t>
  </si>
  <si>
    <t>R368/4,5</t>
  </si>
  <si>
    <t>R368/5</t>
  </si>
  <si>
    <t>R368/5,6</t>
  </si>
  <si>
    <t>R368/6,3</t>
  </si>
  <si>
    <t>R368/7,1</t>
  </si>
  <si>
    <t>R368/8</t>
  </si>
  <si>
    <t>R368/8,8</t>
  </si>
  <si>
    <t>R368/10</t>
  </si>
  <si>
    <t>R368/12,5</t>
  </si>
  <si>
    <t>R406,4/20</t>
  </si>
  <si>
    <t>R406,4/40</t>
  </si>
  <si>
    <t>UPN80</t>
  </si>
  <si>
    <t>UPN100</t>
  </si>
  <si>
    <t>UPN120</t>
  </si>
  <si>
    <t>UPN140</t>
  </si>
  <si>
    <t>UPN160</t>
  </si>
  <si>
    <t>UPN180</t>
  </si>
  <si>
    <t>UPN200</t>
  </si>
  <si>
    <t>UPN220</t>
  </si>
  <si>
    <t>UPN240</t>
  </si>
  <si>
    <t>UPN260</t>
  </si>
  <si>
    <t>UPN280</t>
  </si>
  <si>
    <t>UPN300</t>
  </si>
  <si>
    <t>UPN320</t>
  </si>
  <si>
    <t>UPN350</t>
  </si>
  <si>
    <t>UPN380</t>
  </si>
  <si>
    <t>UPN400</t>
  </si>
  <si>
    <t>UPE80</t>
  </si>
  <si>
    <t>UPE100</t>
  </si>
  <si>
    <t>UPE120</t>
  </si>
  <si>
    <t>UPE140</t>
  </si>
  <si>
    <t>UPE160</t>
  </si>
  <si>
    <t>UPE180</t>
  </si>
  <si>
    <t>UPE200</t>
  </si>
  <si>
    <t>UPE220</t>
  </si>
  <si>
    <t>UPE240</t>
  </si>
  <si>
    <t>UPE270</t>
  </si>
  <si>
    <t>UPE300</t>
  </si>
  <si>
    <t>UPE330</t>
  </si>
  <si>
    <t>UPE360</t>
  </si>
  <si>
    <t>UPE400</t>
  </si>
  <si>
    <t>Vakwerk 20 kg/m</t>
  </si>
  <si>
    <t>te berekenen</t>
  </si>
  <si>
    <t>Vakwerk 25 kg/m</t>
  </si>
  <si>
    <t>Vakwerk 30 kg/m</t>
  </si>
  <si>
    <t>Vakwerk 35 kg/m</t>
  </si>
  <si>
    <t>Vakwerk 40 kg/m</t>
  </si>
  <si>
    <t>Vakwerk 45 kg/m</t>
  </si>
  <si>
    <t>Vakwerk 50 kg/m</t>
  </si>
  <si>
    <t>Vakwerk 55 kg/m</t>
  </si>
  <si>
    <t>Vakwerk 60 kg/m</t>
  </si>
  <si>
    <t>Vakwerk 65 kg/m</t>
  </si>
  <si>
    <t>Vakwerk 70 kg/m</t>
  </si>
  <si>
    <t>Vakwerk 75 kg/m</t>
  </si>
  <si>
    <t>Vakwerk 80 kg/m</t>
  </si>
  <si>
    <t>Vakwerk 85 kg/m</t>
  </si>
  <si>
    <t>Vakwerk 90 kg/m</t>
  </si>
  <si>
    <t>Vakwerk 95 kg/m</t>
  </si>
  <si>
    <t>Vakwerk 100 kg/m</t>
  </si>
  <si>
    <t>Vakwerk 105 kg/m</t>
  </si>
  <si>
    <t>Vakwerk 110 kg/m</t>
  </si>
  <si>
    <t>Vakwerk 115 kg/m</t>
  </si>
  <si>
    <t>Vakwerk 120 kg/m</t>
  </si>
  <si>
    <t>Bovenregel (BR) / m</t>
  </si>
  <si>
    <t>Deurkader / st</t>
  </si>
  <si>
    <t>Hoog-Laag / m</t>
  </si>
  <si>
    <t>Koepelopstand / st</t>
  </si>
  <si>
    <t>Lichtstraatopstand / m</t>
  </si>
  <si>
    <t>Omega op barndwand (tussenwand) / m</t>
  </si>
  <si>
    <t>Poortkader (&lt; 6 mbr) / st</t>
  </si>
  <si>
    <t>Poortkader (&gt; 6 mbr) / st</t>
  </si>
  <si>
    <t>Tussenregel (TR) / m</t>
  </si>
  <si>
    <t>Voetplaat 15 mm / st</t>
  </si>
  <si>
    <t>Voetplaat 20 mm / st</t>
  </si>
  <si>
    <t>Voetplaat 25 mm / st</t>
  </si>
  <si>
    <t>Voetplaat 30 mm / st</t>
  </si>
  <si>
    <t>Manueel</t>
  </si>
  <si>
    <t>zelf ingeven</t>
  </si>
  <si>
    <t>R manueel</t>
  </si>
  <si>
    <t>Vakwerk manueel</t>
  </si>
  <si>
    <t>HE 100 AA</t>
  </si>
  <si>
    <t>HE 120 AA</t>
  </si>
  <si>
    <t>HE 140 AA</t>
  </si>
  <si>
    <t>HE 160 AA</t>
  </si>
  <si>
    <t>HE 180 AA</t>
  </si>
  <si>
    <t>HE 200 AA</t>
  </si>
  <si>
    <t>HE 220 AA</t>
  </si>
  <si>
    <t>HE 240 AA</t>
  </si>
  <si>
    <t>HE 260 AA</t>
  </si>
  <si>
    <t>HE 280 AA</t>
  </si>
  <si>
    <t>HE 300 AA</t>
  </si>
  <si>
    <t>HE 320 AA</t>
  </si>
  <si>
    <t>HE 340 AA</t>
  </si>
  <si>
    <t>HE 360 AA</t>
  </si>
  <si>
    <t>HE 400 AA</t>
  </si>
  <si>
    <t>HE 450 AA</t>
  </si>
  <si>
    <t>HE 500 AA</t>
  </si>
  <si>
    <t>HE 550 AA</t>
  </si>
  <si>
    <t>HE 600 AA</t>
  </si>
  <si>
    <t>HE 650 AA</t>
  </si>
  <si>
    <t>HE 700 AA</t>
  </si>
  <si>
    <t>HE 800 AA</t>
  </si>
  <si>
    <t>HE 900 AA</t>
  </si>
  <si>
    <t>HE 1000 AA</t>
  </si>
  <si>
    <t>HE 600 x 337</t>
  </si>
  <si>
    <t>HE 600 x 399</t>
  </si>
  <si>
    <t>HE 650 x 343</t>
  </si>
  <si>
    <t>HE 650 x 407</t>
  </si>
  <si>
    <t>HE 700 x 352</t>
  </si>
  <si>
    <t>HE 700 x 418</t>
  </si>
  <si>
    <t>HE 800 x 373</t>
  </si>
  <si>
    <t>HE 800 x 444</t>
  </si>
  <si>
    <t>HE 900 x 391</t>
  </si>
  <si>
    <t>HE 900 x 466</t>
  </si>
  <si>
    <t>HE 1000 x 393</t>
  </si>
  <si>
    <t>HE 1000 x 409</t>
  </si>
  <si>
    <t>HE 1000 x 488</t>
  </si>
  <si>
    <t>HE 1000 x 579</t>
  </si>
  <si>
    <t>IPE A 100</t>
  </si>
  <si>
    <t>IPE A 120</t>
  </si>
  <si>
    <t>IPE A 140</t>
  </si>
  <si>
    <t>IPE A 160</t>
  </si>
  <si>
    <t>IPE A 180</t>
  </si>
  <si>
    <t>IPE A 200</t>
  </si>
  <si>
    <t>IPE A 220</t>
  </si>
  <si>
    <t>IPE A 240</t>
  </si>
  <si>
    <t>IPE A 270</t>
  </si>
  <si>
    <t>IPE A 300</t>
  </si>
  <si>
    <t>IPE A 330</t>
  </si>
  <si>
    <t>IPE A 360</t>
  </si>
  <si>
    <t>IPE A 400</t>
  </si>
  <si>
    <t>IPE A 450</t>
  </si>
  <si>
    <t>IPE A 500</t>
  </si>
  <si>
    <t>IPE A 550</t>
  </si>
  <si>
    <t>IPE A 600</t>
  </si>
  <si>
    <t>IPE O 180</t>
  </si>
  <si>
    <t>IPE O 200</t>
  </si>
  <si>
    <t>IPE O 220</t>
  </si>
  <si>
    <t>IPE O 240</t>
  </si>
  <si>
    <t>IPE O 270</t>
  </si>
  <si>
    <t>IPE O 300</t>
  </si>
  <si>
    <t>IPE O 330</t>
  </si>
  <si>
    <t>IPE O 360</t>
  </si>
  <si>
    <t>IPE O 400</t>
  </si>
  <si>
    <t>IPE O 450</t>
  </si>
  <si>
    <t>IPE O 500</t>
  </si>
  <si>
    <t>IPE O 550</t>
  </si>
  <si>
    <t>IPE O 600</t>
  </si>
  <si>
    <t>IPE 750 x 147</t>
  </si>
  <si>
    <t>IPE 750 x 173</t>
  </si>
  <si>
    <t>IPE 750 x 196</t>
  </si>
  <si>
    <t>Lte5</t>
  </si>
  <si>
    <t>L5to8</t>
  </si>
  <si>
    <t>L8to11</t>
  </si>
  <si>
    <t>L11to14</t>
  </si>
  <si>
    <t>L14to18</t>
  </si>
  <si>
    <t>Gt18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</si>
</sst>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Aptos Narrow"/>
      <family val="2"/>
      <scheme val="minor"/>
    </font>
    <font>
      <sz val="9"/>
      <name val="Geneva"/>
    </font>
    <font>
      <sz val="6"/>
      <name val="Book Antiqua"/>
      <family val="1"/>
    </font>
    <font>
      <sz val="11"/>
      <color rgb="FFFF0000"/>
      <name val="Aptos Narrow"/>
      <family val="2"/>
      <scheme val="minor"/>
    </font>
    <font>
      <sz val="11"/>
      <color rgb="FF0000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0" fillId="2" borderId="0" xfId="0" applyFill="1"/>
    <xf numFmtId="0" fontId="2" fillId="0" borderId="0" xfId="1" applyFont="1" applyAlignment="1">
      <alignment horizontal="left"/>
    </xf>
    <xf numFmtId="2" fontId="2" fillId="0" borderId="0" xfId="1" applyNumberFormat="1" applyFont="1" applyAlignment="1">
      <alignment horizontal="center"/>
    </xf>
    <xf numFmtId="164" fontId="2" fillId="0" borderId="0" xfId="1" applyNumberFormat="1" applyFont="1" applyAlignment="1">
      <alignment horizontal="right"/>
    </xf>
    <xf numFmtId="164" fontId="2" fillId="0" borderId="0" xfId="1" applyNumberFormat="1" applyFont="1" applyAlignment="1">
      <alignment horizontal="left"/>
    </xf>
    <xf numFmtId="164" fontId="2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2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Normal" xfId="0" builtinId="0"/>
    <cellStyle name="Standaard_Arbed - (theoretische waarden profielen)" xfId="1" xr:uid="{94B9D76E-AC2D-4ED0-BD7B-BC37114F73AE}"/>
  </cellStyles>
  <dxfs count="8"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Book Antiqua"/>
        <family val="1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Book Antiqua"/>
        <family val="1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Book Antiqua"/>
        <family val="1"/>
        <scheme val="none"/>
      </font>
      <alignment horizontal="left" vertical="bottom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fill>
        <patternFill patternType="solid">
          <fgColor theme="4" tint="0.79998168889431442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29F1D6-993F-4AFE-B706-9244B31FC19C}" name="Profiles" displayName="Profiles" ref="A1:I823" totalsRowShown="0" headerRowDxfId="7" tableBorderDxfId="6">
  <autoFilter ref="A1:I823" xr:uid="{F93B3FB6-1444-4E01-A9EB-18ADCC8657AD}"/>
  <tableColumns count="9">
    <tableColumn id="1" xr3:uid="{7AAC8C7F-AA55-478C-A54D-307C8243352D}" name="Profile" dataDxfId="5" dataCellStyle="Standaard_Arbed - (theoretische waarden profielen)"/>
    <tableColumn id="2" xr3:uid="{D3AFAC84-15EC-40FF-AA0F-2AA17872CB5E}" name="kgm" dataDxfId="4" dataCellStyle="Standaard_Arbed - (theoretische waarden profielen)"/>
    <tableColumn id="3" xr3:uid="{580318C4-ACFB-4F35-88A7-D52FBA41B4BD}" name="m2_per_m" dataDxfId="3" dataCellStyle="Standaard_Arbed - (theoretische waarden profielen)"/>
    <tableColumn id="4" xr3:uid="{3B0F60AB-A4C0-44DD-A819-0BD2F91808C1}" name="Lte5"/>
    <tableColumn id="5" xr3:uid="{1BC0A4C8-5777-4914-B0C7-52143375721C}" name="L5to8"/>
    <tableColumn id="6" xr3:uid="{3AE9F1CA-12F7-4A37-A8E4-7AD7DBE56AC5}" name="L8to11"/>
    <tableColumn id="7" xr3:uid="{CE0BFF81-495E-4A78-B6F2-7CB323BE4E1C}" name="L11to14" dataDxfId="2">
      <calculatedColumnFormula>MROUND($E2*1.3,0.05)</calculatedColumnFormula>
    </tableColumn>
    <tableColumn id="8" xr3:uid="{82B3D310-A10C-458E-9ED9-AD6445BFCFBA}" name="L14to18" dataDxfId="1">
      <calculatedColumnFormula>MROUND($E2*1.5,0.05)</calculatedColumnFormula>
    </tableColumn>
    <tableColumn id="9" xr3:uid="{F721B6FB-DA67-460A-A966-2CCFD606EEAD}" name="Gt18" dataDxfId="0">
      <calculatedColumnFormula>MROUND($E2*2,0.05)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17BDB-744B-4742-89F5-BEC49815F646}">
  <dimension ref="A1:I823"/>
  <sheetViews>
    <sheetView tabSelected="1" workbookViewId="0">
      <selection activeCell="M24" sqref="M24"/>
    </sheetView>
  </sheetViews>
  <sheetFormatPr defaultRowHeight="14.5"/>
  <cols>
    <col min="1" max="2" width="9.6328125" bestFit="1" customWidth="1"/>
    <col min="3" max="3" width="11.816406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827</v>
      </c>
      <c r="E1" s="1" t="s">
        <v>828</v>
      </c>
      <c r="F1" s="1" t="s">
        <v>829</v>
      </c>
      <c r="G1" s="1" t="s">
        <v>830</v>
      </c>
      <c r="H1" s="1" t="s">
        <v>831</v>
      </c>
      <c r="I1" s="1" t="s">
        <v>832</v>
      </c>
    </row>
    <row r="2" spans="1:9">
      <c r="A2" s="2" t="s">
        <v>3</v>
      </c>
      <c r="B2" s="3">
        <v>16.7</v>
      </c>
      <c r="C2" s="4">
        <v>0.56100000000000005</v>
      </c>
      <c r="D2" s="7">
        <v>1</v>
      </c>
      <c r="E2" s="7">
        <v>1.1499999999999999</v>
      </c>
      <c r="F2" s="7">
        <v>1.3</v>
      </c>
      <c r="G2" s="8">
        <f t="shared" ref="G2:G65" si="0">MROUND($E2*1.3,0.05)</f>
        <v>1.5</v>
      </c>
      <c r="H2" s="8">
        <f t="shared" ref="H2:H65" si="1">MROUND($E2*1.5,0.05)</f>
        <v>1.7000000000000002</v>
      </c>
      <c r="I2" s="8">
        <f t="shared" ref="I2:I65" si="2">MROUND($E2*2,0.05)</f>
        <v>2.3000000000000003</v>
      </c>
    </row>
    <row r="3" spans="1:9">
      <c r="A3" s="2" t="s">
        <v>4</v>
      </c>
      <c r="B3" s="3">
        <v>19.899999999999999</v>
      </c>
      <c r="C3" s="4">
        <v>0.67700000000000005</v>
      </c>
      <c r="D3" s="7">
        <v>1.2</v>
      </c>
      <c r="E3" s="7">
        <v>1.35</v>
      </c>
      <c r="F3" s="7">
        <v>1.5</v>
      </c>
      <c r="G3" s="8">
        <f t="shared" si="0"/>
        <v>1.75</v>
      </c>
      <c r="H3" s="8">
        <f t="shared" si="1"/>
        <v>2.0500000000000003</v>
      </c>
      <c r="I3" s="8">
        <f t="shared" si="2"/>
        <v>2.7</v>
      </c>
    </row>
    <row r="4" spans="1:9">
      <c r="A4" s="2" t="s">
        <v>5</v>
      </c>
      <c r="B4" s="3">
        <v>24.7</v>
      </c>
      <c r="C4" s="4">
        <v>0.79400000000000004</v>
      </c>
      <c r="D4" s="7">
        <v>1.4</v>
      </c>
      <c r="E4" s="7">
        <v>1.55</v>
      </c>
      <c r="F4" s="7">
        <v>1.7</v>
      </c>
      <c r="G4" s="8">
        <f t="shared" si="0"/>
        <v>2</v>
      </c>
      <c r="H4" s="8">
        <f t="shared" si="1"/>
        <v>2.35</v>
      </c>
      <c r="I4" s="8">
        <f t="shared" si="2"/>
        <v>3.1</v>
      </c>
    </row>
    <row r="5" spans="1:9">
      <c r="A5" s="2" t="s">
        <v>6</v>
      </c>
      <c r="B5" s="3">
        <v>30.4</v>
      </c>
      <c r="C5" s="4">
        <v>0.90600000000000003</v>
      </c>
      <c r="D5" s="7">
        <v>1.6</v>
      </c>
      <c r="E5" s="7">
        <v>1.75</v>
      </c>
      <c r="F5" s="7">
        <v>1.9</v>
      </c>
      <c r="G5" s="8">
        <f t="shared" si="0"/>
        <v>2.25</v>
      </c>
      <c r="H5" s="8">
        <f t="shared" si="1"/>
        <v>2.6500000000000004</v>
      </c>
      <c r="I5" s="8">
        <f t="shared" si="2"/>
        <v>3.5</v>
      </c>
    </row>
    <row r="6" spans="1:9">
      <c r="A6" s="2" t="s">
        <v>7</v>
      </c>
      <c r="B6" s="3">
        <v>35.5</v>
      </c>
      <c r="C6" s="4">
        <v>1.024</v>
      </c>
      <c r="D6" s="7">
        <v>1.7</v>
      </c>
      <c r="E6" s="7">
        <v>1.87</v>
      </c>
      <c r="F6" s="7">
        <v>2.0499999999999998</v>
      </c>
      <c r="G6" s="8">
        <f t="shared" si="0"/>
        <v>2.4500000000000002</v>
      </c>
      <c r="H6" s="8">
        <f t="shared" si="1"/>
        <v>2.8000000000000003</v>
      </c>
      <c r="I6" s="8">
        <f t="shared" si="2"/>
        <v>3.75</v>
      </c>
    </row>
    <row r="7" spans="1:9">
      <c r="A7" s="2" t="s">
        <v>8</v>
      </c>
      <c r="B7" s="3">
        <v>42.3</v>
      </c>
      <c r="C7" s="4">
        <v>1.1359999999999999</v>
      </c>
      <c r="D7" s="7">
        <v>1.9</v>
      </c>
      <c r="E7" s="7">
        <v>2.1</v>
      </c>
      <c r="F7" s="7">
        <v>2.2999999999999998</v>
      </c>
      <c r="G7" s="8">
        <f t="shared" si="0"/>
        <v>2.75</v>
      </c>
      <c r="H7" s="8">
        <f t="shared" si="1"/>
        <v>3.1500000000000004</v>
      </c>
      <c r="I7" s="8">
        <f t="shared" si="2"/>
        <v>4.2</v>
      </c>
    </row>
    <row r="8" spans="1:9">
      <c r="A8" s="2" t="s">
        <v>9</v>
      </c>
      <c r="B8" s="3">
        <v>50.5</v>
      </c>
      <c r="C8" s="4">
        <v>1.2549999999999999</v>
      </c>
      <c r="D8" s="7">
        <v>2.2000000000000002</v>
      </c>
      <c r="E8" s="7">
        <v>2.4500000000000002</v>
      </c>
      <c r="F8" s="7">
        <v>2.7</v>
      </c>
      <c r="G8" s="8">
        <f t="shared" si="0"/>
        <v>3.2</v>
      </c>
      <c r="H8" s="8">
        <f t="shared" si="1"/>
        <v>3.7</v>
      </c>
      <c r="I8" s="8">
        <f t="shared" si="2"/>
        <v>4.9000000000000004</v>
      </c>
    </row>
    <row r="9" spans="1:9">
      <c r="A9" s="2" t="s">
        <v>10</v>
      </c>
      <c r="B9" s="3">
        <v>60.3</v>
      </c>
      <c r="C9" s="4">
        <v>1.369</v>
      </c>
      <c r="D9" s="7">
        <v>2.4</v>
      </c>
      <c r="E9" s="7">
        <v>2.7</v>
      </c>
      <c r="F9" s="7">
        <v>3</v>
      </c>
      <c r="G9" s="8">
        <f t="shared" si="0"/>
        <v>3.5</v>
      </c>
      <c r="H9" s="8">
        <f t="shared" si="1"/>
        <v>4.05</v>
      </c>
      <c r="I9" s="8">
        <f t="shared" si="2"/>
        <v>5.4</v>
      </c>
    </row>
    <row r="10" spans="1:9">
      <c r="A10" s="2" t="s">
        <v>11</v>
      </c>
      <c r="B10" s="3">
        <v>68.2</v>
      </c>
      <c r="C10" s="4">
        <v>1.484</v>
      </c>
      <c r="D10" s="7">
        <v>2.5</v>
      </c>
      <c r="E10" s="7">
        <v>3</v>
      </c>
      <c r="F10" s="7">
        <v>3.5</v>
      </c>
      <c r="G10" s="8">
        <f t="shared" si="0"/>
        <v>3.9000000000000004</v>
      </c>
      <c r="H10" s="8">
        <f t="shared" si="1"/>
        <v>4.5</v>
      </c>
      <c r="I10" s="8">
        <f t="shared" si="2"/>
        <v>6</v>
      </c>
    </row>
    <row r="11" spans="1:9">
      <c r="A11" s="2" t="s">
        <v>12</v>
      </c>
      <c r="B11" s="3">
        <v>76.400000000000006</v>
      </c>
      <c r="C11" s="4">
        <v>1.603</v>
      </c>
      <c r="D11" s="7">
        <v>2.65</v>
      </c>
      <c r="E11" s="7">
        <v>3.25</v>
      </c>
      <c r="F11" s="7">
        <v>3.85</v>
      </c>
      <c r="G11" s="8">
        <f t="shared" si="0"/>
        <v>4.25</v>
      </c>
      <c r="H11" s="8">
        <f t="shared" si="1"/>
        <v>4.9000000000000004</v>
      </c>
      <c r="I11" s="8">
        <f t="shared" si="2"/>
        <v>6.5</v>
      </c>
    </row>
    <row r="12" spans="1:9">
      <c r="A12" s="2" t="s">
        <v>13</v>
      </c>
      <c r="B12" s="3">
        <v>88.3</v>
      </c>
      <c r="C12" s="4">
        <v>1.7170000000000001</v>
      </c>
      <c r="D12" s="7">
        <v>2.75</v>
      </c>
      <c r="E12" s="7">
        <v>3.45</v>
      </c>
      <c r="F12" s="7">
        <v>4.1500000000000004</v>
      </c>
      <c r="G12" s="8">
        <f t="shared" si="0"/>
        <v>4.5</v>
      </c>
      <c r="H12" s="8">
        <f t="shared" si="1"/>
        <v>5.2</v>
      </c>
      <c r="I12" s="8">
        <f t="shared" si="2"/>
        <v>6.9</v>
      </c>
    </row>
    <row r="13" spans="1:9">
      <c r="A13" s="2" t="s">
        <v>14</v>
      </c>
      <c r="B13" s="3">
        <v>97.6</v>
      </c>
      <c r="C13" s="4">
        <v>1.756</v>
      </c>
      <c r="D13" s="7">
        <v>3.2</v>
      </c>
      <c r="E13" s="7">
        <v>3.95</v>
      </c>
      <c r="F13" s="7">
        <v>4.7</v>
      </c>
      <c r="G13" s="8">
        <f t="shared" si="0"/>
        <v>5.15</v>
      </c>
      <c r="H13" s="8">
        <f t="shared" si="1"/>
        <v>5.95</v>
      </c>
      <c r="I13" s="8">
        <f t="shared" si="2"/>
        <v>7.9</v>
      </c>
    </row>
    <row r="14" spans="1:9">
      <c r="A14" s="2" t="s">
        <v>15</v>
      </c>
      <c r="B14" s="3">
        <v>105</v>
      </c>
      <c r="C14" s="4">
        <v>1.7949999999999999</v>
      </c>
      <c r="D14" s="7">
        <v>3.3</v>
      </c>
      <c r="E14" s="7">
        <v>4.17</v>
      </c>
      <c r="F14" s="7">
        <v>5.05</v>
      </c>
      <c r="G14" s="8">
        <f t="shared" si="0"/>
        <v>5.4</v>
      </c>
      <c r="H14" s="8">
        <f t="shared" si="1"/>
        <v>6.25</v>
      </c>
      <c r="I14" s="8">
        <f t="shared" si="2"/>
        <v>8.35</v>
      </c>
    </row>
    <row r="15" spans="1:9">
      <c r="A15" s="2" t="s">
        <v>16</v>
      </c>
      <c r="B15" s="3">
        <v>112</v>
      </c>
      <c r="C15" s="4">
        <v>1.8340000000000001</v>
      </c>
      <c r="D15" s="7">
        <v>3.5</v>
      </c>
      <c r="E15" s="7">
        <v>4.5</v>
      </c>
      <c r="F15" s="7">
        <v>5.5</v>
      </c>
      <c r="G15" s="8">
        <f t="shared" si="0"/>
        <v>5.8500000000000005</v>
      </c>
      <c r="H15" s="8">
        <f t="shared" si="1"/>
        <v>6.75</v>
      </c>
      <c r="I15" s="8">
        <f t="shared" si="2"/>
        <v>9</v>
      </c>
    </row>
    <row r="16" spans="1:9">
      <c r="A16" s="2" t="s">
        <v>17</v>
      </c>
      <c r="B16" s="3">
        <v>125</v>
      </c>
      <c r="C16" s="4">
        <v>1.9119999999999999</v>
      </c>
      <c r="D16" s="7">
        <v>4</v>
      </c>
      <c r="E16" s="7">
        <v>5.25</v>
      </c>
      <c r="F16" s="7">
        <v>6.5</v>
      </c>
      <c r="G16" s="8">
        <f t="shared" si="0"/>
        <v>6.8500000000000005</v>
      </c>
      <c r="H16" s="8">
        <f t="shared" si="1"/>
        <v>7.9</v>
      </c>
      <c r="I16" s="8">
        <f t="shared" si="2"/>
        <v>10.5</v>
      </c>
    </row>
    <row r="17" spans="1:9">
      <c r="A17" s="2" t="s">
        <v>18</v>
      </c>
      <c r="B17" s="3">
        <v>140</v>
      </c>
      <c r="C17" s="4">
        <v>2.0110000000000001</v>
      </c>
      <c r="D17" s="7">
        <v>5.2</v>
      </c>
      <c r="E17" s="7">
        <v>6.45</v>
      </c>
      <c r="F17" s="7">
        <v>7.7</v>
      </c>
      <c r="G17" s="8">
        <f t="shared" si="0"/>
        <v>8.4</v>
      </c>
      <c r="H17" s="8">
        <f t="shared" si="1"/>
        <v>9.7000000000000011</v>
      </c>
      <c r="I17" s="8">
        <f t="shared" si="2"/>
        <v>12.9</v>
      </c>
    </row>
    <row r="18" spans="1:9">
      <c r="A18" s="2" t="s">
        <v>19</v>
      </c>
      <c r="B18" s="3">
        <v>155</v>
      </c>
      <c r="C18" s="4">
        <v>2.11</v>
      </c>
      <c r="D18" s="7">
        <v>5.8</v>
      </c>
      <c r="E18" s="7">
        <v>7.05</v>
      </c>
      <c r="F18" s="7">
        <v>8.3000000000000007</v>
      </c>
      <c r="G18" s="8">
        <f t="shared" si="0"/>
        <v>9.15</v>
      </c>
      <c r="H18" s="8">
        <f t="shared" si="1"/>
        <v>10.55</v>
      </c>
      <c r="I18" s="8">
        <f t="shared" si="2"/>
        <v>14.100000000000001</v>
      </c>
    </row>
    <row r="19" spans="1:9">
      <c r="A19" s="2" t="s">
        <v>20</v>
      </c>
      <c r="B19" s="3">
        <v>166</v>
      </c>
      <c r="C19" s="4">
        <v>2.2090000000000001</v>
      </c>
      <c r="D19" s="7">
        <v>6.2</v>
      </c>
      <c r="E19" s="7">
        <v>7.3</v>
      </c>
      <c r="F19" s="7">
        <v>8.4</v>
      </c>
      <c r="G19" s="8">
        <f t="shared" si="0"/>
        <v>9.5</v>
      </c>
      <c r="H19" s="8">
        <f t="shared" si="1"/>
        <v>10.950000000000001</v>
      </c>
      <c r="I19" s="8">
        <f t="shared" si="2"/>
        <v>14.600000000000001</v>
      </c>
    </row>
    <row r="20" spans="1:9">
      <c r="A20" s="2" t="s">
        <v>21</v>
      </c>
      <c r="B20" s="3">
        <v>178</v>
      </c>
      <c r="C20" s="4">
        <v>2.3079999999999998</v>
      </c>
      <c r="D20" s="7">
        <v>6.4</v>
      </c>
      <c r="E20" s="7">
        <v>7.75</v>
      </c>
      <c r="F20" s="7">
        <v>9.1</v>
      </c>
      <c r="G20" s="8">
        <f t="shared" si="0"/>
        <v>10.100000000000001</v>
      </c>
      <c r="H20" s="8">
        <f t="shared" si="1"/>
        <v>11.65</v>
      </c>
      <c r="I20" s="8">
        <f t="shared" si="2"/>
        <v>15.5</v>
      </c>
    </row>
    <row r="21" spans="1:9">
      <c r="A21" s="2" t="s">
        <v>22</v>
      </c>
      <c r="B21" s="3">
        <v>190</v>
      </c>
      <c r="C21" s="4">
        <v>2.407</v>
      </c>
      <c r="D21" s="7">
        <v>6.6</v>
      </c>
      <c r="E21" s="7">
        <v>8.35</v>
      </c>
      <c r="F21" s="7">
        <v>10.1</v>
      </c>
      <c r="G21" s="8">
        <f t="shared" si="0"/>
        <v>10.850000000000001</v>
      </c>
      <c r="H21" s="8">
        <f t="shared" si="1"/>
        <v>12.5</v>
      </c>
      <c r="I21" s="8">
        <f t="shared" si="2"/>
        <v>16.7</v>
      </c>
    </row>
    <row r="22" spans="1:9">
      <c r="A22" s="2" t="s">
        <v>23</v>
      </c>
      <c r="B22" s="3">
        <v>204</v>
      </c>
      <c r="C22" s="4">
        <v>2.5049999999999999</v>
      </c>
      <c r="D22" s="7">
        <v>8.5</v>
      </c>
      <c r="E22" s="7">
        <v>10.25</v>
      </c>
      <c r="F22" s="7">
        <v>12</v>
      </c>
      <c r="G22" s="8">
        <f t="shared" si="0"/>
        <v>13.350000000000001</v>
      </c>
      <c r="H22" s="8">
        <f t="shared" si="1"/>
        <v>15.4</v>
      </c>
      <c r="I22" s="8">
        <f t="shared" si="2"/>
        <v>20.5</v>
      </c>
    </row>
    <row r="23" spans="1:9">
      <c r="A23" s="2" t="s">
        <v>24</v>
      </c>
      <c r="B23" s="3">
        <v>224</v>
      </c>
      <c r="C23" s="4">
        <v>2.698</v>
      </c>
      <c r="D23" s="7">
        <v>8.8000000000000007</v>
      </c>
      <c r="E23" s="7">
        <v>10.8</v>
      </c>
      <c r="F23" s="7">
        <v>12.8</v>
      </c>
      <c r="G23" s="8">
        <f t="shared" si="0"/>
        <v>14.05</v>
      </c>
      <c r="H23" s="8">
        <f t="shared" si="1"/>
        <v>16.2</v>
      </c>
      <c r="I23" s="8">
        <f t="shared" si="2"/>
        <v>21.6</v>
      </c>
    </row>
    <row r="24" spans="1:9">
      <c r="A24" s="2" t="s">
        <v>25</v>
      </c>
      <c r="B24" s="3">
        <v>252</v>
      </c>
      <c r="C24" s="4">
        <v>2.8959999999999999</v>
      </c>
      <c r="D24" s="7">
        <v>9.5</v>
      </c>
      <c r="E24" s="7">
        <v>11.25</v>
      </c>
      <c r="F24" s="7">
        <v>13</v>
      </c>
      <c r="G24" s="8">
        <f t="shared" si="0"/>
        <v>14.65</v>
      </c>
      <c r="H24" s="8">
        <f t="shared" si="1"/>
        <v>16.900000000000002</v>
      </c>
      <c r="I24" s="8">
        <f t="shared" si="2"/>
        <v>22.5</v>
      </c>
    </row>
    <row r="25" spans="1:9">
      <c r="A25" s="2" t="s">
        <v>26</v>
      </c>
      <c r="B25" s="3">
        <v>272</v>
      </c>
      <c r="C25" s="4">
        <v>3.0950000000000002</v>
      </c>
      <c r="D25" s="7">
        <v>10.5</v>
      </c>
      <c r="E25" s="7">
        <v>12</v>
      </c>
      <c r="F25" s="7">
        <v>13.5</v>
      </c>
      <c r="G25" s="8">
        <f t="shared" si="0"/>
        <v>15.600000000000001</v>
      </c>
      <c r="H25" s="8">
        <f t="shared" si="1"/>
        <v>18</v>
      </c>
      <c r="I25" s="8">
        <f t="shared" si="2"/>
        <v>24</v>
      </c>
    </row>
    <row r="26" spans="1:9">
      <c r="A26" s="2" t="s">
        <v>27</v>
      </c>
      <c r="B26" s="3">
        <v>20.399999999999999</v>
      </c>
      <c r="C26" s="4">
        <v>0.56699999999999995</v>
      </c>
      <c r="D26" s="7">
        <v>1.4</v>
      </c>
      <c r="E26" s="7">
        <v>1.8</v>
      </c>
      <c r="F26" s="7">
        <v>2.2000000000000002</v>
      </c>
      <c r="G26" s="8">
        <f t="shared" si="0"/>
        <v>2.35</v>
      </c>
      <c r="H26" s="8">
        <f t="shared" si="1"/>
        <v>2.7</v>
      </c>
      <c r="I26" s="8">
        <f t="shared" si="2"/>
        <v>3.6</v>
      </c>
    </row>
    <row r="27" spans="1:9">
      <c r="A27" s="2" t="s">
        <v>28</v>
      </c>
      <c r="B27" s="3">
        <v>26.7</v>
      </c>
      <c r="C27" s="4">
        <v>0.68600000000000005</v>
      </c>
      <c r="D27" s="7">
        <v>1.6</v>
      </c>
      <c r="E27" s="7">
        <v>2</v>
      </c>
      <c r="F27" s="7">
        <v>2.4</v>
      </c>
      <c r="G27" s="8">
        <f t="shared" si="0"/>
        <v>2.6</v>
      </c>
      <c r="H27" s="8">
        <f t="shared" si="1"/>
        <v>3</v>
      </c>
      <c r="I27" s="8">
        <f t="shared" si="2"/>
        <v>4</v>
      </c>
    </row>
    <row r="28" spans="1:9">
      <c r="A28" s="2" t="s">
        <v>29</v>
      </c>
      <c r="B28" s="3">
        <v>33.700000000000003</v>
      </c>
      <c r="C28" s="4">
        <v>0.80500000000000005</v>
      </c>
      <c r="D28" s="7">
        <v>1.8</v>
      </c>
      <c r="E28" s="7">
        <v>2.2000000000000002</v>
      </c>
      <c r="F28" s="7">
        <v>2.6</v>
      </c>
      <c r="G28" s="8">
        <f t="shared" si="0"/>
        <v>2.85</v>
      </c>
      <c r="H28" s="8">
        <f t="shared" si="1"/>
        <v>3.3000000000000003</v>
      </c>
      <c r="I28" s="8">
        <f t="shared" si="2"/>
        <v>4.4000000000000004</v>
      </c>
    </row>
    <row r="29" spans="1:9">
      <c r="A29" s="2" t="s">
        <v>30</v>
      </c>
      <c r="B29" s="3">
        <v>42.6</v>
      </c>
      <c r="C29" s="4">
        <v>0.91800000000000004</v>
      </c>
      <c r="D29" s="7">
        <v>2</v>
      </c>
      <c r="E29" s="7">
        <v>2.4</v>
      </c>
      <c r="F29" s="7">
        <v>2.8</v>
      </c>
      <c r="G29" s="8">
        <f t="shared" si="0"/>
        <v>3.1</v>
      </c>
      <c r="H29" s="8">
        <f t="shared" si="1"/>
        <v>3.6</v>
      </c>
      <c r="I29" s="8">
        <f t="shared" si="2"/>
        <v>4.8000000000000007</v>
      </c>
    </row>
    <row r="30" spans="1:9">
      <c r="A30" s="2" t="s">
        <v>31</v>
      </c>
      <c r="B30" s="3">
        <v>51.2</v>
      </c>
      <c r="C30" s="4">
        <v>1.0369999999999999</v>
      </c>
      <c r="D30" s="7">
        <v>2.25</v>
      </c>
      <c r="E30" s="7">
        <v>2</v>
      </c>
      <c r="F30" s="7">
        <v>3.15</v>
      </c>
      <c r="G30" s="8">
        <f t="shared" si="0"/>
        <v>2.6</v>
      </c>
      <c r="H30" s="8">
        <f t="shared" si="1"/>
        <v>3</v>
      </c>
      <c r="I30" s="8">
        <f t="shared" si="2"/>
        <v>4</v>
      </c>
    </row>
    <row r="31" spans="1:9">
      <c r="A31" s="2" t="s">
        <v>32</v>
      </c>
      <c r="B31" s="3">
        <v>61.3</v>
      </c>
      <c r="C31" s="4">
        <v>1.151</v>
      </c>
      <c r="D31" s="7">
        <v>2.5</v>
      </c>
      <c r="E31" s="7">
        <v>3</v>
      </c>
      <c r="F31" s="7">
        <v>3.5</v>
      </c>
      <c r="G31" s="8">
        <f t="shared" si="0"/>
        <v>3.9000000000000004</v>
      </c>
      <c r="H31" s="8">
        <f t="shared" si="1"/>
        <v>4.5</v>
      </c>
      <c r="I31" s="8">
        <f t="shared" si="2"/>
        <v>6</v>
      </c>
    </row>
    <row r="32" spans="1:9">
      <c r="A32" s="2" t="s">
        <v>33</v>
      </c>
      <c r="B32" s="3">
        <v>71.5</v>
      </c>
      <c r="C32" s="4">
        <v>1.27</v>
      </c>
      <c r="D32" s="7">
        <v>2.7</v>
      </c>
      <c r="E32" s="7">
        <v>3.22</v>
      </c>
      <c r="F32" s="7">
        <v>3.75</v>
      </c>
      <c r="G32" s="8">
        <f t="shared" si="0"/>
        <v>4.2</v>
      </c>
      <c r="H32" s="8">
        <f t="shared" si="1"/>
        <v>4.8500000000000005</v>
      </c>
      <c r="I32" s="8">
        <f t="shared" si="2"/>
        <v>6.45</v>
      </c>
    </row>
    <row r="33" spans="1:9">
      <c r="A33" s="2" t="s">
        <v>34</v>
      </c>
      <c r="B33" s="3">
        <v>83.2</v>
      </c>
      <c r="C33" s="4">
        <v>1.3839999999999999</v>
      </c>
      <c r="D33" s="7">
        <v>2.85</v>
      </c>
      <c r="E33" s="7">
        <v>3.42</v>
      </c>
      <c r="F33" s="7">
        <v>4</v>
      </c>
      <c r="G33" s="8">
        <f t="shared" si="0"/>
        <v>4.45</v>
      </c>
      <c r="H33" s="8">
        <f t="shared" si="1"/>
        <v>5.15</v>
      </c>
      <c r="I33" s="8">
        <f t="shared" si="2"/>
        <v>6.8500000000000005</v>
      </c>
    </row>
    <row r="34" spans="1:9">
      <c r="A34" s="2" t="s">
        <v>35</v>
      </c>
      <c r="B34" s="3">
        <v>93</v>
      </c>
      <c r="C34" s="4">
        <v>1.4990000000000001</v>
      </c>
      <c r="D34" s="7">
        <v>2.95</v>
      </c>
      <c r="E34" s="7">
        <v>3.57</v>
      </c>
      <c r="F34" s="7">
        <v>4.2</v>
      </c>
      <c r="G34" s="8">
        <f t="shared" si="0"/>
        <v>4.6500000000000004</v>
      </c>
      <c r="H34" s="8">
        <f t="shared" si="1"/>
        <v>5.3500000000000005</v>
      </c>
      <c r="I34" s="8">
        <f t="shared" si="2"/>
        <v>7.15</v>
      </c>
    </row>
    <row r="35" spans="1:9">
      <c r="A35" s="2" t="s">
        <v>36</v>
      </c>
      <c r="B35" s="3">
        <v>103</v>
      </c>
      <c r="C35" s="4">
        <v>1.6180000000000001</v>
      </c>
      <c r="D35" s="7">
        <v>3</v>
      </c>
      <c r="E35" s="7">
        <v>3.7</v>
      </c>
      <c r="F35" s="7">
        <v>4.4000000000000004</v>
      </c>
      <c r="G35" s="8">
        <f t="shared" si="0"/>
        <v>4.8000000000000007</v>
      </c>
      <c r="H35" s="8">
        <f t="shared" si="1"/>
        <v>5.5500000000000007</v>
      </c>
      <c r="I35" s="8">
        <f t="shared" si="2"/>
        <v>7.4</v>
      </c>
    </row>
    <row r="36" spans="1:9">
      <c r="A36" s="2" t="s">
        <v>37</v>
      </c>
      <c r="B36" s="3">
        <v>117</v>
      </c>
      <c r="C36" s="4">
        <v>1.732</v>
      </c>
      <c r="D36" s="7">
        <v>3.5</v>
      </c>
      <c r="E36" s="7">
        <v>4.25</v>
      </c>
      <c r="F36" s="7">
        <v>5</v>
      </c>
      <c r="G36" s="8">
        <f t="shared" si="0"/>
        <v>5.5500000000000007</v>
      </c>
      <c r="H36" s="8">
        <f t="shared" si="1"/>
        <v>6.4</v>
      </c>
      <c r="I36" s="8">
        <f t="shared" si="2"/>
        <v>8.5</v>
      </c>
    </row>
    <row r="37" spans="1:9">
      <c r="A37" s="2" t="s">
        <v>38</v>
      </c>
      <c r="B37" s="3">
        <v>127</v>
      </c>
      <c r="C37" s="4">
        <v>1.7709999999999999</v>
      </c>
      <c r="D37" s="7">
        <v>3.6</v>
      </c>
      <c r="E37" s="7">
        <v>4.5</v>
      </c>
      <c r="F37" s="7">
        <v>5.4</v>
      </c>
      <c r="G37" s="8">
        <f t="shared" si="0"/>
        <v>5.8500000000000005</v>
      </c>
      <c r="H37" s="8">
        <f t="shared" si="1"/>
        <v>6.75</v>
      </c>
      <c r="I37" s="8">
        <f t="shared" si="2"/>
        <v>9</v>
      </c>
    </row>
    <row r="38" spans="1:9">
      <c r="A38" s="2" t="s">
        <v>39</v>
      </c>
      <c r="B38" s="3">
        <v>134</v>
      </c>
      <c r="C38" s="4">
        <v>1.81</v>
      </c>
      <c r="D38" s="7">
        <v>5.0999999999999996</v>
      </c>
      <c r="E38" s="7">
        <v>6.11</v>
      </c>
      <c r="F38" s="7">
        <v>7.13</v>
      </c>
      <c r="G38" s="8">
        <f t="shared" si="0"/>
        <v>7.95</v>
      </c>
      <c r="H38" s="8">
        <f t="shared" si="1"/>
        <v>9.15</v>
      </c>
      <c r="I38" s="8">
        <f t="shared" si="2"/>
        <v>12.200000000000001</v>
      </c>
    </row>
    <row r="39" spans="1:9">
      <c r="A39" s="2" t="s">
        <v>40</v>
      </c>
      <c r="B39" s="3">
        <v>142</v>
      </c>
      <c r="C39" s="4">
        <v>1.849</v>
      </c>
      <c r="D39" s="7">
        <v>5.2</v>
      </c>
      <c r="E39" s="7">
        <v>6.32</v>
      </c>
      <c r="F39" s="7">
        <v>7.45</v>
      </c>
      <c r="G39" s="8">
        <f t="shared" si="0"/>
        <v>8.2000000000000011</v>
      </c>
      <c r="H39" s="8">
        <f t="shared" si="1"/>
        <v>9.5</v>
      </c>
      <c r="I39" s="8">
        <f t="shared" si="2"/>
        <v>12.65</v>
      </c>
    </row>
    <row r="40" spans="1:9">
      <c r="A40" s="2" t="s">
        <v>41</v>
      </c>
      <c r="B40" s="3">
        <v>155</v>
      </c>
      <c r="C40" s="4">
        <v>1.927</v>
      </c>
      <c r="D40" s="7">
        <v>5.6</v>
      </c>
      <c r="E40" s="7">
        <v>6.85</v>
      </c>
      <c r="F40" s="7">
        <v>8.1</v>
      </c>
      <c r="G40" s="8">
        <f t="shared" si="0"/>
        <v>8.9</v>
      </c>
      <c r="H40" s="8">
        <f t="shared" si="1"/>
        <v>10.25</v>
      </c>
      <c r="I40" s="8">
        <f t="shared" si="2"/>
        <v>13.700000000000001</v>
      </c>
    </row>
    <row r="41" spans="1:9">
      <c r="A41" s="2" t="s">
        <v>42</v>
      </c>
      <c r="B41" s="3">
        <v>171</v>
      </c>
      <c r="C41" s="4">
        <v>2.0259999999999998</v>
      </c>
      <c r="D41" s="7">
        <v>6.2</v>
      </c>
      <c r="E41" s="7">
        <v>7.45</v>
      </c>
      <c r="F41" s="7">
        <v>8.6999999999999993</v>
      </c>
      <c r="G41" s="8">
        <f t="shared" si="0"/>
        <v>9.7000000000000011</v>
      </c>
      <c r="H41" s="8">
        <f t="shared" si="1"/>
        <v>11.200000000000001</v>
      </c>
      <c r="I41" s="8">
        <f t="shared" si="2"/>
        <v>14.9</v>
      </c>
    </row>
    <row r="42" spans="1:9">
      <c r="A42" s="2" t="s">
        <v>43</v>
      </c>
      <c r="B42" s="3">
        <v>187</v>
      </c>
      <c r="C42" s="4">
        <v>2.125</v>
      </c>
      <c r="D42" s="7">
        <v>8</v>
      </c>
      <c r="E42" s="7">
        <v>9.1999999999999993</v>
      </c>
      <c r="F42" s="7">
        <v>10.45</v>
      </c>
      <c r="G42" s="8">
        <f t="shared" si="0"/>
        <v>11.950000000000001</v>
      </c>
      <c r="H42" s="8">
        <f t="shared" si="1"/>
        <v>13.8</v>
      </c>
      <c r="I42" s="8">
        <f t="shared" si="2"/>
        <v>18.400000000000002</v>
      </c>
    </row>
    <row r="43" spans="1:9">
      <c r="A43" s="2" t="s">
        <v>44</v>
      </c>
      <c r="B43" s="3">
        <v>199</v>
      </c>
      <c r="C43" s="4">
        <v>2.2240000000000002</v>
      </c>
      <c r="D43" s="7">
        <v>8.1</v>
      </c>
      <c r="E43" s="7">
        <v>9.4700000000000006</v>
      </c>
      <c r="F43" s="7">
        <v>10.85</v>
      </c>
      <c r="G43" s="8">
        <f t="shared" si="0"/>
        <v>12.3</v>
      </c>
      <c r="H43" s="8">
        <f t="shared" si="1"/>
        <v>14.200000000000001</v>
      </c>
      <c r="I43" s="8">
        <f t="shared" si="2"/>
        <v>18.95</v>
      </c>
    </row>
    <row r="44" spans="1:9">
      <c r="A44" s="2" t="s">
        <v>45</v>
      </c>
      <c r="B44" s="3">
        <v>212</v>
      </c>
      <c r="C44" s="4">
        <v>2.323</v>
      </c>
      <c r="D44" s="7">
        <v>8.1999999999999993</v>
      </c>
      <c r="E44" s="7">
        <v>9.6999999999999993</v>
      </c>
      <c r="F44" s="7">
        <v>11.2</v>
      </c>
      <c r="G44" s="8">
        <f t="shared" si="0"/>
        <v>12.600000000000001</v>
      </c>
      <c r="H44" s="8">
        <f t="shared" si="1"/>
        <v>14.55</v>
      </c>
      <c r="I44" s="8">
        <f t="shared" si="2"/>
        <v>19.400000000000002</v>
      </c>
    </row>
    <row r="45" spans="1:9">
      <c r="A45" s="2" t="s">
        <v>46</v>
      </c>
      <c r="B45" s="3">
        <v>225</v>
      </c>
      <c r="C45" s="4">
        <v>2.4220000000000002</v>
      </c>
      <c r="D45" s="7">
        <v>8.3000000000000007</v>
      </c>
      <c r="E45" s="7">
        <v>10.050000000000001</v>
      </c>
      <c r="F45" s="7">
        <v>11.8</v>
      </c>
      <c r="G45" s="8">
        <f t="shared" si="0"/>
        <v>13.05</v>
      </c>
      <c r="H45" s="8">
        <f t="shared" si="1"/>
        <v>15.100000000000001</v>
      </c>
      <c r="I45" s="8">
        <f t="shared" si="2"/>
        <v>20.100000000000001</v>
      </c>
    </row>
    <row r="46" spans="1:9">
      <c r="A46" s="2" t="s">
        <v>47</v>
      </c>
      <c r="B46" s="3">
        <v>241</v>
      </c>
      <c r="C46" s="4">
        <v>2.52</v>
      </c>
      <c r="D46" s="7">
        <v>9.1999999999999993</v>
      </c>
      <c r="E46" s="7">
        <v>10.95</v>
      </c>
      <c r="F46" s="7">
        <v>12.7</v>
      </c>
      <c r="G46" s="8">
        <f t="shared" si="0"/>
        <v>14.25</v>
      </c>
      <c r="H46" s="8">
        <f t="shared" si="1"/>
        <v>16.400000000000002</v>
      </c>
      <c r="I46" s="8">
        <f t="shared" si="2"/>
        <v>21.900000000000002</v>
      </c>
    </row>
    <row r="47" spans="1:9">
      <c r="A47" s="2" t="s">
        <v>48</v>
      </c>
      <c r="B47" s="3">
        <v>262</v>
      </c>
      <c r="C47" s="4">
        <v>2.7130000000000001</v>
      </c>
      <c r="D47" s="7">
        <v>9.6999999999999993</v>
      </c>
      <c r="E47" s="7">
        <v>11.7</v>
      </c>
      <c r="F47" s="7">
        <v>13.7</v>
      </c>
      <c r="G47" s="8">
        <f t="shared" si="0"/>
        <v>15.200000000000001</v>
      </c>
      <c r="H47" s="8">
        <f t="shared" si="1"/>
        <v>17.55</v>
      </c>
      <c r="I47" s="8">
        <f t="shared" si="2"/>
        <v>23.400000000000002</v>
      </c>
    </row>
    <row r="48" spans="1:9">
      <c r="A48" s="2" t="s">
        <v>49</v>
      </c>
      <c r="B48" s="3">
        <v>291</v>
      </c>
      <c r="C48" s="4">
        <v>2.911</v>
      </c>
      <c r="D48" s="7">
        <v>10.7</v>
      </c>
      <c r="E48" s="7">
        <v>12.45</v>
      </c>
      <c r="F48" s="7">
        <v>14.2</v>
      </c>
      <c r="G48" s="8">
        <f t="shared" si="0"/>
        <v>16.2</v>
      </c>
      <c r="H48" s="8">
        <f t="shared" si="1"/>
        <v>18.650000000000002</v>
      </c>
      <c r="I48" s="8">
        <f t="shared" si="2"/>
        <v>24.900000000000002</v>
      </c>
    </row>
    <row r="49" spans="1:9">
      <c r="A49" s="2" t="s">
        <v>50</v>
      </c>
      <c r="B49" s="3">
        <v>314</v>
      </c>
      <c r="C49" s="4">
        <v>3.11</v>
      </c>
      <c r="D49" s="7">
        <v>13</v>
      </c>
      <c r="E49" s="7">
        <v>14.5</v>
      </c>
      <c r="F49" s="7">
        <v>16</v>
      </c>
      <c r="G49" s="8">
        <f t="shared" si="0"/>
        <v>18.850000000000001</v>
      </c>
      <c r="H49" s="8">
        <f t="shared" si="1"/>
        <v>21.75</v>
      </c>
      <c r="I49" s="8">
        <f t="shared" si="2"/>
        <v>29</v>
      </c>
    </row>
    <row r="50" spans="1:9">
      <c r="A50" s="2" t="s">
        <v>51</v>
      </c>
      <c r="B50" s="3">
        <v>41.8</v>
      </c>
      <c r="C50" s="4">
        <v>0.61899999999999999</v>
      </c>
      <c r="D50" s="7">
        <v>2.2000000000000002</v>
      </c>
      <c r="E50" s="7">
        <v>2.7</v>
      </c>
      <c r="F50" s="7">
        <v>3.2</v>
      </c>
      <c r="G50" s="8">
        <f t="shared" si="0"/>
        <v>3.5</v>
      </c>
      <c r="H50" s="8">
        <f t="shared" si="1"/>
        <v>4.05</v>
      </c>
      <c r="I50" s="8">
        <f t="shared" si="2"/>
        <v>5.4</v>
      </c>
    </row>
    <row r="51" spans="1:9">
      <c r="A51" s="2" t="s">
        <v>52</v>
      </c>
      <c r="B51" s="3">
        <v>52.1</v>
      </c>
      <c r="C51" s="4">
        <v>0.73799999999999999</v>
      </c>
      <c r="D51" s="7">
        <v>2.7</v>
      </c>
      <c r="E51" s="7">
        <v>3.3</v>
      </c>
      <c r="F51" s="7">
        <v>3.9</v>
      </c>
      <c r="G51" s="8">
        <f t="shared" si="0"/>
        <v>4.3</v>
      </c>
      <c r="H51" s="8">
        <f t="shared" si="1"/>
        <v>4.95</v>
      </c>
      <c r="I51" s="8">
        <f t="shared" si="2"/>
        <v>6.6000000000000005</v>
      </c>
    </row>
    <row r="52" spans="1:9">
      <c r="A52" s="2" t="s">
        <v>53</v>
      </c>
      <c r="B52" s="3">
        <v>63.2</v>
      </c>
      <c r="C52" s="4">
        <v>0.85699999999999998</v>
      </c>
      <c r="D52" s="7">
        <v>3</v>
      </c>
      <c r="E52" s="7">
        <v>3.71</v>
      </c>
      <c r="F52" s="7">
        <v>4.42</v>
      </c>
      <c r="G52" s="8">
        <f t="shared" si="0"/>
        <v>4.8000000000000007</v>
      </c>
      <c r="H52" s="8">
        <f t="shared" si="1"/>
        <v>5.5500000000000007</v>
      </c>
      <c r="I52" s="8">
        <f t="shared" si="2"/>
        <v>7.4</v>
      </c>
    </row>
    <row r="53" spans="1:9">
      <c r="A53" s="2" t="s">
        <v>54</v>
      </c>
      <c r="B53" s="3">
        <v>76.2</v>
      </c>
      <c r="C53" s="4">
        <v>0.97</v>
      </c>
      <c r="D53" s="7">
        <v>3.5</v>
      </c>
      <c r="E53" s="7">
        <v>4.3099999999999996</v>
      </c>
      <c r="F53" s="7">
        <v>5.13</v>
      </c>
      <c r="G53" s="8">
        <f t="shared" si="0"/>
        <v>5.6000000000000005</v>
      </c>
      <c r="H53" s="8">
        <f t="shared" si="1"/>
        <v>6.45</v>
      </c>
      <c r="I53" s="8">
        <f t="shared" si="2"/>
        <v>8.6</v>
      </c>
    </row>
    <row r="54" spans="1:9">
      <c r="A54" s="2" t="s">
        <v>55</v>
      </c>
      <c r="B54" s="3">
        <v>88.9</v>
      </c>
      <c r="C54" s="4">
        <v>1.089</v>
      </c>
      <c r="D54" s="7">
        <v>4</v>
      </c>
      <c r="E54" s="7">
        <v>4.92</v>
      </c>
      <c r="F54" s="7">
        <v>5.84</v>
      </c>
      <c r="G54" s="8">
        <f t="shared" si="0"/>
        <v>6.4</v>
      </c>
      <c r="H54" s="8">
        <f t="shared" si="1"/>
        <v>7.4</v>
      </c>
      <c r="I54" s="8">
        <f t="shared" si="2"/>
        <v>9.8500000000000014</v>
      </c>
    </row>
    <row r="55" spans="1:9">
      <c r="A55" s="2" t="s">
        <v>56</v>
      </c>
      <c r="B55" s="3">
        <v>103</v>
      </c>
      <c r="C55" s="4">
        <v>1.2030000000000001</v>
      </c>
      <c r="D55" s="7">
        <v>4.3</v>
      </c>
      <c r="E55" s="7">
        <v>5.32</v>
      </c>
      <c r="F55" s="7">
        <v>6.35</v>
      </c>
      <c r="G55" s="8">
        <f t="shared" si="0"/>
        <v>6.9</v>
      </c>
      <c r="H55" s="8">
        <f t="shared" si="1"/>
        <v>8</v>
      </c>
      <c r="I55" s="8">
        <f t="shared" si="2"/>
        <v>10.65</v>
      </c>
    </row>
    <row r="56" spans="1:9">
      <c r="A56" s="2" t="s">
        <v>57</v>
      </c>
      <c r="B56" s="3">
        <v>117</v>
      </c>
      <c r="C56" s="4">
        <v>1.3220000000000001</v>
      </c>
      <c r="D56" s="7">
        <v>5</v>
      </c>
      <c r="E56" s="7">
        <v>6.08</v>
      </c>
      <c r="F56" s="7">
        <v>7.16</v>
      </c>
      <c r="G56" s="8">
        <f t="shared" si="0"/>
        <v>7.9</v>
      </c>
      <c r="H56" s="8">
        <f t="shared" si="1"/>
        <v>9.1</v>
      </c>
      <c r="I56" s="8">
        <f t="shared" si="2"/>
        <v>12.15</v>
      </c>
    </row>
    <row r="57" spans="1:9">
      <c r="A57" s="2" t="s">
        <v>58</v>
      </c>
      <c r="B57" s="3">
        <v>157</v>
      </c>
      <c r="C57" s="4">
        <v>1.46</v>
      </c>
      <c r="D57" s="7">
        <v>6.8</v>
      </c>
      <c r="E57" s="7">
        <v>7.98</v>
      </c>
      <c r="F57" s="7">
        <v>9.17</v>
      </c>
      <c r="G57" s="8">
        <f t="shared" si="0"/>
        <v>10.350000000000001</v>
      </c>
      <c r="H57" s="8">
        <f t="shared" si="1"/>
        <v>11.950000000000001</v>
      </c>
      <c r="I57" s="8">
        <f t="shared" si="2"/>
        <v>15.950000000000001</v>
      </c>
    </row>
    <row r="58" spans="1:9">
      <c r="A58" s="2" t="s">
        <v>59</v>
      </c>
      <c r="B58" s="3">
        <v>172</v>
      </c>
      <c r="C58" s="4">
        <v>1.575</v>
      </c>
      <c r="D58" s="7">
        <v>7.5</v>
      </c>
      <c r="E58" s="7">
        <v>8.75</v>
      </c>
      <c r="F58" s="7">
        <v>10</v>
      </c>
      <c r="G58" s="8">
        <f t="shared" si="0"/>
        <v>11.4</v>
      </c>
      <c r="H58" s="8">
        <f t="shared" si="1"/>
        <v>13.15</v>
      </c>
      <c r="I58" s="8">
        <f t="shared" si="2"/>
        <v>17.5</v>
      </c>
    </row>
    <row r="59" spans="1:9">
      <c r="A59" s="2" t="s">
        <v>60</v>
      </c>
      <c r="B59" s="3">
        <v>189</v>
      </c>
      <c r="C59" s="4">
        <v>1.694</v>
      </c>
      <c r="D59" s="7">
        <v>8.3000000000000007</v>
      </c>
      <c r="E59" s="7">
        <v>9.52</v>
      </c>
      <c r="F59" s="7">
        <v>10.75</v>
      </c>
      <c r="G59" s="8">
        <f t="shared" si="0"/>
        <v>12.4</v>
      </c>
      <c r="H59" s="8">
        <f t="shared" si="1"/>
        <v>14.3</v>
      </c>
      <c r="I59" s="8">
        <f t="shared" si="2"/>
        <v>19.05</v>
      </c>
    </row>
    <row r="60" spans="1:9">
      <c r="A60" s="2" t="s">
        <v>61</v>
      </c>
      <c r="B60" s="3">
        <v>238</v>
      </c>
      <c r="C60" s="4">
        <v>1.8320000000000001</v>
      </c>
      <c r="D60" s="7">
        <v>12</v>
      </c>
      <c r="E60" s="7">
        <v>13.2</v>
      </c>
      <c r="F60" s="7">
        <v>14.4</v>
      </c>
      <c r="G60" s="8">
        <f t="shared" si="0"/>
        <v>17.150000000000002</v>
      </c>
      <c r="H60" s="8">
        <f t="shared" si="1"/>
        <v>19.8</v>
      </c>
      <c r="I60" s="8">
        <f t="shared" si="2"/>
        <v>26.400000000000002</v>
      </c>
    </row>
    <row r="61" spans="1:9">
      <c r="A61" s="2" t="s">
        <v>62</v>
      </c>
      <c r="B61" s="3">
        <v>245</v>
      </c>
      <c r="C61" s="4">
        <v>1.8660000000000001</v>
      </c>
      <c r="D61" s="7">
        <v>12.8</v>
      </c>
      <c r="E61" s="7">
        <v>13.88</v>
      </c>
      <c r="F61" s="7">
        <v>14.97</v>
      </c>
      <c r="G61" s="8">
        <f t="shared" si="0"/>
        <v>18.05</v>
      </c>
      <c r="H61" s="8">
        <f t="shared" si="1"/>
        <v>20.8</v>
      </c>
      <c r="I61" s="8">
        <f t="shared" si="2"/>
        <v>27.75</v>
      </c>
    </row>
    <row r="62" spans="1:9">
      <c r="A62" s="2" t="s">
        <v>63</v>
      </c>
      <c r="B62" s="3">
        <v>248</v>
      </c>
      <c r="C62" s="4">
        <v>1.9019999999999999</v>
      </c>
      <c r="D62" s="7">
        <v>13</v>
      </c>
      <c r="E62" s="7">
        <v>13.97</v>
      </c>
      <c r="F62" s="7">
        <v>14.94</v>
      </c>
      <c r="G62" s="8">
        <f t="shared" si="0"/>
        <v>18.150000000000002</v>
      </c>
      <c r="H62" s="8">
        <f t="shared" si="1"/>
        <v>20.950000000000003</v>
      </c>
      <c r="I62" s="8">
        <f t="shared" si="2"/>
        <v>27.950000000000003</v>
      </c>
    </row>
    <row r="63" spans="1:9">
      <c r="A63" s="2" t="s">
        <v>64</v>
      </c>
      <c r="B63" s="3">
        <v>250</v>
      </c>
      <c r="C63" s="4">
        <v>1.9339999999999999</v>
      </c>
      <c r="D63" s="7">
        <v>13.5</v>
      </c>
      <c r="E63" s="7">
        <v>15</v>
      </c>
      <c r="F63" s="7">
        <v>16.5</v>
      </c>
      <c r="G63" s="8">
        <f t="shared" si="0"/>
        <v>19.5</v>
      </c>
      <c r="H63" s="8">
        <f t="shared" si="1"/>
        <v>22.5</v>
      </c>
      <c r="I63" s="8">
        <f t="shared" si="2"/>
        <v>30</v>
      </c>
    </row>
    <row r="64" spans="1:9">
      <c r="A64" s="2" t="s">
        <v>65</v>
      </c>
      <c r="B64" s="3">
        <v>256</v>
      </c>
      <c r="C64" s="4">
        <v>2.004</v>
      </c>
      <c r="D64" s="7">
        <v>13.8</v>
      </c>
      <c r="E64" s="7">
        <v>15.5</v>
      </c>
      <c r="F64" s="7">
        <v>17.3</v>
      </c>
      <c r="G64" s="8">
        <f t="shared" si="0"/>
        <v>20.150000000000002</v>
      </c>
      <c r="H64" s="8">
        <f t="shared" si="1"/>
        <v>23.25</v>
      </c>
      <c r="I64" s="8">
        <f t="shared" si="2"/>
        <v>31</v>
      </c>
    </row>
    <row r="65" spans="1:9">
      <c r="A65" s="2" t="s">
        <v>66</v>
      </c>
      <c r="B65" s="3">
        <v>263</v>
      </c>
      <c r="C65" s="4">
        <v>2.0960000000000001</v>
      </c>
      <c r="D65" s="7">
        <v>14</v>
      </c>
      <c r="E65" s="7">
        <v>15.75</v>
      </c>
      <c r="F65" s="7">
        <v>17.5</v>
      </c>
      <c r="G65" s="8">
        <f t="shared" si="0"/>
        <v>20.5</v>
      </c>
      <c r="H65" s="8">
        <f t="shared" si="1"/>
        <v>23.650000000000002</v>
      </c>
      <c r="I65" s="8">
        <f t="shared" si="2"/>
        <v>31.5</v>
      </c>
    </row>
    <row r="66" spans="1:9">
      <c r="A66" s="2" t="s">
        <v>67</v>
      </c>
      <c r="B66" s="3">
        <v>270</v>
      </c>
      <c r="C66" s="4">
        <v>2.1840000000000002</v>
      </c>
      <c r="D66" s="7">
        <v>14.5</v>
      </c>
      <c r="E66" s="7">
        <v>16.25</v>
      </c>
      <c r="F66" s="7">
        <v>18</v>
      </c>
      <c r="G66" s="8">
        <f t="shared" ref="G66:G129" si="3">MROUND($E66*1.3,0.05)</f>
        <v>21.150000000000002</v>
      </c>
      <c r="H66" s="8">
        <f t="shared" ref="H66:H129" si="4">MROUND($E66*1.5,0.05)</f>
        <v>24.400000000000002</v>
      </c>
      <c r="I66" s="8">
        <f t="shared" ref="I66:I129" si="5">MROUND($E66*2,0.05)</f>
        <v>32.5</v>
      </c>
    </row>
    <row r="67" spans="1:9">
      <c r="A67" s="2" t="s">
        <v>68</v>
      </c>
      <c r="B67" s="3">
        <v>278</v>
      </c>
      <c r="C67" s="4">
        <v>2.2799999999999998</v>
      </c>
      <c r="D67" s="7">
        <v>14.4</v>
      </c>
      <c r="E67" s="7">
        <v>16.149999999999999</v>
      </c>
      <c r="F67" s="7">
        <v>17.899999999999999</v>
      </c>
      <c r="G67" s="8">
        <f t="shared" si="3"/>
        <v>21</v>
      </c>
      <c r="H67" s="8">
        <f t="shared" si="4"/>
        <v>24.200000000000003</v>
      </c>
      <c r="I67" s="8">
        <f t="shared" si="5"/>
        <v>32.300000000000004</v>
      </c>
    </row>
    <row r="68" spans="1:9">
      <c r="A68" s="2" t="s">
        <v>69</v>
      </c>
      <c r="B68" s="3">
        <v>285</v>
      </c>
      <c r="C68" s="4">
        <v>2.3719999999999999</v>
      </c>
      <c r="D68" s="7">
        <v>14.6</v>
      </c>
      <c r="E68" s="7">
        <v>16.600000000000001</v>
      </c>
      <c r="F68" s="7">
        <v>18.600000000000001</v>
      </c>
      <c r="G68" s="8">
        <f t="shared" si="3"/>
        <v>21.6</v>
      </c>
      <c r="H68" s="8">
        <f t="shared" si="4"/>
        <v>24.900000000000002</v>
      </c>
      <c r="I68" s="8">
        <f t="shared" si="5"/>
        <v>33.200000000000003</v>
      </c>
    </row>
    <row r="69" spans="1:9">
      <c r="A69" s="2" t="s">
        <v>70</v>
      </c>
      <c r="B69" s="3">
        <v>293</v>
      </c>
      <c r="C69" s="4">
        <v>2.468</v>
      </c>
      <c r="D69" s="7">
        <v>15</v>
      </c>
      <c r="E69" s="7">
        <v>17</v>
      </c>
      <c r="F69" s="7">
        <v>19</v>
      </c>
      <c r="G69" s="8">
        <f t="shared" si="3"/>
        <v>22.1</v>
      </c>
      <c r="H69" s="8">
        <f t="shared" si="4"/>
        <v>25.5</v>
      </c>
      <c r="I69" s="8">
        <f t="shared" si="5"/>
        <v>34</v>
      </c>
    </row>
    <row r="70" spans="1:9">
      <c r="A70" s="2" t="s">
        <v>71</v>
      </c>
      <c r="B70" s="3">
        <v>301</v>
      </c>
      <c r="C70" s="4">
        <v>2.56</v>
      </c>
      <c r="D70" s="7">
        <v>15</v>
      </c>
      <c r="E70" s="7">
        <v>17</v>
      </c>
      <c r="F70" s="7">
        <v>19</v>
      </c>
      <c r="G70" s="8">
        <f t="shared" si="3"/>
        <v>22.1</v>
      </c>
      <c r="H70" s="8">
        <f t="shared" si="4"/>
        <v>25.5</v>
      </c>
      <c r="I70" s="8">
        <f t="shared" si="5"/>
        <v>34</v>
      </c>
    </row>
    <row r="71" spans="1:9">
      <c r="A71" s="2" t="s">
        <v>72</v>
      </c>
      <c r="B71" s="3">
        <v>317</v>
      </c>
      <c r="C71" s="4">
        <v>2.746</v>
      </c>
      <c r="D71" s="7">
        <v>15.5</v>
      </c>
      <c r="E71" s="7">
        <v>17.5</v>
      </c>
      <c r="F71" s="7">
        <v>19.5</v>
      </c>
      <c r="G71" s="8">
        <f t="shared" si="3"/>
        <v>22.75</v>
      </c>
      <c r="H71" s="8">
        <f t="shared" si="4"/>
        <v>26.25</v>
      </c>
      <c r="I71" s="8">
        <f t="shared" si="5"/>
        <v>35</v>
      </c>
    </row>
    <row r="72" spans="1:9">
      <c r="A72" s="2" t="s">
        <v>73</v>
      </c>
      <c r="B72" s="3">
        <v>333</v>
      </c>
      <c r="C72" s="4">
        <v>2.9340000000000002</v>
      </c>
      <c r="D72" s="7">
        <v>16</v>
      </c>
      <c r="E72" s="7">
        <v>18</v>
      </c>
      <c r="F72" s="7">
        <v>20</v>
      </c>
      <c r="G72" s="8">
        <f t="shared" si="3"/>
        <v>23.400000000000002</v>
      </c>
      <c r="H72" s="8">
        <f t="shared" si="4"/>
        <v>27</v>
      </c>
      <c r="I72" s="8">
        <f t="shared" si="5"/>
        <v>36</v>
      </c>
    </row>
    <row r="73" spans="1:9">
      <c r="A73" s="2" t="s">
        <v>74</v>
      </c>
      <c r="B73" s="3">
        <v>349</v>
      </c>
      <c r="C73" s="4">
        <v>3.13</v>
      </c>
      <c r="D73" s="7">
        <v>16.5</v>
      </c>
      <c r="E73" s="7">
        <v>18.5</v>
      </c>
      <c r="F73" s="7">
        <v>20.5</v>
      </c>
      <c r="G73" s="8">
        <f t="shared" si="3"/>
        <v>24.05</v>
      </c>
      <c r="H73" s="8">
        <f t="shared" si="4"/>
        <v>27.75</v>
      </c>
      <c r="I73" s="8">
        <f t="shared" si="5"/>
        <v>37</v>
      </c>
    </row>
    <row r="74" spans="1:9">
      <c r="A74" s="2" t="s">
        <v>75</v>
      </c>
      <c r="B74" s="3">
        <v>6.2</v>
      </c>
      <c r="C74" s="4">
        <v>0.32800000000000001</v>
      </c>
      <c r="D74" s="7">
        <v>0.75</v>
      </c>
      <c r="E74" s="7">
        <v>0.92</v>
      </c>
      <c r="F74" s="7">
        <v>1.1000000000000001</v>
      </c>
      <c r="G74" s="8">
        <f t="shared" si="3"/>
        <v>1.2000000000000002</v>
      </c>
      <c r="H74" s="8">
        <f t="shared" si="4"/>
        <v>1.4000000000000001</v>
      </c>
      <c r="I74" s="8">
        <f t="shared" si="5"/>
        <v>1.85</v>
      </c>
    </row>
    <row r="75" spans="1:9">
      <c r="A75" s="2" t="s">
        <v>76</v>
      </c>
      <c r="B75" s="3">
        <v>8.1</v>
      </c>
      <c r="C75" s="4">
        <v>0.4</v>
      </c>
      <c r="D75" s="7">
        <v>0.96</v>
      </c>
      <c r="E75" s="7">
        <v>1.2</v>
      </c>
      <c r="F75" s="7">
        <v>1.44</v>
      </c>
      <c r="G75" s="8">
        <f t="shared" si="3"/>
        <v>1.55</v>
      </c>
      <c r="H75" s="8">
        <f t="shared" si="4"/>
        <v>1.8</v>
      </c>
      <c r="I75" s="8">
        <f t="shared" si="5"/>
        <v>2.4000000000000004</v>
      </c>
    </row>
    <row r="76" spans="1:9">
      <c r="A76" s="2" t="s">
        <v>77</v>
      </c>
      <c r="B76" s="3">
        <v>10.4</v>
      </c>
      <c r="C76" s="4">
        <v>0.47499999999999998</v>
      </c>
      <c r="D76" s="7">
        <v>1.17</v>
      </c>
      <c r="E76" s="7">
        <v>1.47</v>
      </c>
      <c r="F76" s="7">
        <v>1.78</v>
      </c>
      <c r="G76" s="8">
        <f t="shared" si="3"/>
        <v>1.9000000000000001</v>
      </c>
      <c r="H76" s="8">
        <f t="shared" si="4"/>
        <v>2.2000000000000002</v>
      </c>
      <c r="I76" s="8">
        <f t="shared" si="5"/>
        <v>2.95</v>
      </c>
    </row>
    <row r="77" spans="1:9">
      <c r="A77" s="2" t="s">
        <v>78</v>
      </c>
      <c r="B77" s="3">
        <v>12.9</v>
      </c>
      <c r="C77" s="4">
        <v>0.55100000000000005</v>
      </c>
      <c r="D77" s="7">
        <v>1.38</v>
      </c>
      <c r="E77" s="7">
        <v>1.74</v>
      </c>
      <c r="F77" s="7">
        <v>2.11</v>
      </c>
      <c r="G77" s="8">
        <f t="shared" si="3"/>
        <v>2.25</v>
      </c>
      <c r="H77" s="8">
        <f t="shared" si="4"/>
        <v>2.6</v>
      </c>
      <c r="I77" s="8">
        <f t="shared" si="5"/>
        <v>3.5</v>
      </c>
    </row>
    <row r="78" spans="1:9">
      <c r="A78" s="2" t="s">
        <v>79</v>
      </c>
      <c r="B78" s="3">
        <v>15.8</v>
      </c>
      <c r="C78" s="4">
        <v>0.623</v>
      </c>
      <c r="D78" s="7">
        <v>1.59</v>
      </c>
      <c r="E78" s="7">
        <v>2.0099999999999998</v>
      </c>
      <c r="F78" s="7">
        <v>2.44</v>
      </c>
      <c r="G78" s="8">
        <f t="shared" si="3"/>
        <v>2.6</v>
      </c>
      <c r="H78" s="8">
        <f t="shared" si="4"/>
        <v>3</v>
      </c>
      <c r="I78" s="8">
        <f t="shared" si="5"/>
        <v>4</v>
      </c>
    </row>
    <row r="79" spans="1:9">
      <c r="A79" s="2" t="s">
        <v>80</v>
      </c>
      <c r="B79" s="3">
        <v>18.8</v>
      </c>
      <c r="C79" s="4">
        <v>0.69799999999999995</v>
      </c>
      <c r="D79" s="7">
        <v>1.8</v>
      </c>
      <c r="E79" s="7">
        <v>2.29</v>
      </c>
      <c r="F79" s="7">
        <v>2.78</v>
      </c>
      <c r="G79" s="8">
        <f t="shared" si="3"/>
        <v>3</v>
      </c>
      <c r="H79" s="8">
        <f t="shared" si="4"/>
        <v>3.45</v>
      </c>
      <c r="I79" s="8">
        <f t="shared" si="5"/>
        <v>4.6000000000000005</v>
      </c>
    </row>
    <row r="80" spans="1:9">
      <c r="A80" s="2" t="s">
        <v>81</v>
      </c>
      <c r="B80" s="3">
        <v>22.4</v>
      </c>
      <c r="C80" s="4">
        <v>0.76800000000000002</v>
      </c>
      <c r="D80" s="7">
        <v>2.0099999999999998</v>
      </c>
      <c r="E80" s="7">
        <v>2.56</v>
      </c>
      <c r="F80" s="7">
        <v>3.12</v>
      </c>
      <c r="G80" s="8">
        <f t="shared" si="3"/>
        <v>3.35</v>
      </c>
      <c r="H80" s="8">
        <f t="shared" si="4"/>
        <v>3.85</v>
      </c>
      <c r="I80" s="8">
        <f t="shared" si="5"/>
        <v>5.1000000000000005</v>
      </c>
    </row>
    <row r="81" spans="1:9">
      <c r="A81" s="2" t="s">
        <v>82</v>
      </c>
      <c r="B81" s="3">
        <v>26.2</v>
      </c>
      <c r="C81" s="4">
        <v>0.84799999999999998</v>
      </c>
      <c r="D81" s="7">
        <v>2.2200000000000002</v>
      </c>
      <c r="E81" s="7">
        <v>2.84</v>
      </c>
      <c r="F81" s="7">
        <v>3.46</v>
      </c>
      <c r="G81" s="8">
        <f t="shared" si="3"/>
        <v>3.7</v>
      </c>
      <c r="H81" s="8">
        <f t="shared" si="4"/>
        <v>4.25</v>
      </c>
      <c r="I81" s="8">
        <f t="shared" si="5"/>
        <v>5.7</v>
      </c>
    </row>
    <row r="82" spans="1:9">
      <c r="A82" s="2" t="s">
        <v>83</v>
      </c>
      <c r="B82" s="3">
        <v>30.7</v>
      </c>
      <c r="C82" s="4">
        <v>0.92200000000000004</v>
      </c>
      <c r="D82" s="7">
        <v>2.4300000000000002</v>
      </c>
      <c r="E82" s="7">
        <v>3.11</v>
      </c>
      <c r="F82" s="7">
        <v>3.8</v>
      </c>
      <c r="G82" s="8">
        <f t="shared" si="3"/>
        <v>4.05</v>
      </c>
      <c r="H82" s="8">
        <f t="shared" si="4"/>
        <v>4.6500000000000004</v>
      </c>
      <c r="I82" s="8">
        <f t="shared" si="5"/>
        <v>6.2</v>
      </c>
    </row>
    <row r="83" spans="1:9">
      <c r="A83" s="2" t="s">
        <v>84</v>
      </c>
      <c r="B83" s="3">
        <v>36.1</v>
      </c>
      <c r="C83" s="4">
        <v>1.0409999999999999</v>
      </c>
      <c r="D83" s="7">
        <v>2.64</v>
      </c>
      <c r="E83" s="7">
        <v>3.39</v>
      </c>
      <c r="F83" s="7">
        <v>4.1399999999999997</v>
      </c>
      <c r="G83" s="8">
        <f t="shared" si="3"/>
        <v>4.4000000000000004</v>
      </c>
      <c r="H83" s="8">
        <f t="shared" si="4"/>
        <v>5.1000000000000005</v>
      </c>
      <c r="I83" s="8">
        <f t="shared" si="5"/>
        <v>6.8000000000000007</v>
      </c>
    </row>
    <row r="84" spans="1:9">
      <c r="A84" s="2" t="s">
        <v>85</v>
      </c>
      <c r="B84" s="3">
        <v>42.2</v>
      </c>
      <c r="C84" s="4">
        <v>1.1599999999999999</v>
      </c>
      <c r="D84" s="7">
        <v>2.85</v>
      </c>
      <c r="E84" s="7">
        <v>3.66</v>
      </c>
      <c r="F84" s="7">
        <v>4.47</v>
      </c>
      <c r="G84" s="8">
        <f t="shared" si="3"/>
        <v>4.75</v>
      </c>
      <c r="H84" s="8">
        <f t="shared" si="4"/>
        <v>5.5</v>
      </c>
      <c r="I84" s="8">
        <f t="shared" si="5"/>
        <v>7.3000000000000007</v>
      </c>
    </row>
    <row r="85" spans="1:9">
      <c r="A85" s="2" t="s">
        <v>86</v>
      </c>
      <c r="B85" s="3">
        <v>49.1</v>
      </c>
      <c r="C85" s="4">
        <v>1.254</v>
      </c>
      <c r="D85" s="7">
        <v>3.06</v>
      </c>
      <c r="E85" s="7">
        <v>3.9</v>
      </c>
      <c r="F85" s="7">
        <v>4.8099999999999996</v>
      </c>
      <c r="G85" s="8">
        <f t="shared" si="3"/>
        <v>5.0500000000000007</v>
      </c>
      <c r="H85" s="8">
        <f t="shared" si="4"/>
        <v>5.8500000000000005</v>
      </c>
      <c r="I85" s="8">
        <f t="shared" si="5"/>
        <v>7.8000000000000007</v>
      </c>
    </row>
    <row r="86" spans="1:9">
      <c r="A86" s="2" t="s">
        <v>87</v>
      </c>
      <c r="B86" s="3">
        <v>57.1</v>
      </c>
      <c r="C86" s="4">
        <v>1.353</v>
      </c>
      <c r="D86" s="7">
        <v>3.27</v>
      </c>
      <c r="E86" s="7">
        <v>4.21</v>
      </c>
      <c r="F86" s="7">
        <v>5.15</v>
      </c>
      <c r="G86" s="8">
        <f t="shared" si="3"/>
        <v>5.45</v>
      </c>
      <c r="H86" s="8">
        <f t="shared" si="4"/>
        <v>6.3000000000000007</v>
      </c>
      <c r="I86" s="8">
        <f t="shared" si="5"/>
        <v>8.4</v>
      </c>
    </row>
    <row r="87" spans="1:9">
      <c r="A87" s="2" t="s">
        <v>88</v>
      </c>
      <c r="B87" s="3">
        <v>66.3</v>
      </c>
      <c r="C87" s="4">
        <v>1.4670000000000001</v>
      </c>
      <c r="D87" s="7">
        <v>3.8</v>
      </c>
      <c r="E87" s="7">
        <v>4.8</v>
      </c>
      <c r="F87" s="7">
        <v>5.8</v>
      </c>
      <c r="G87" s="8">
        <f t="shared" si="3"/>
        <v>6.25</v>
      </c>
      <c r="H87" s="8">
        <f t="shared" si="4"/>
        <v>7.2</v>
      </c>
      <c r="I87" s="8">
        <f t="shared" si="5"/>
        <v>9.6000000000000014</v>
      </c>
    </row>
    <row r="88" spans="1:9">
      <c r="A88" s="2" t="s">
        <v>89</v>
      </c>
      <c r="B88" s="3">
        <v>77.599999999999994</v>
      </c>
      <c r="C88" s="4">
        <v>1.605</v>
      </c>
      <c r="D88" s="7">
        <v>4.5</v>
      </c>
      <c r="E88" s="7">
        <v>5.75</v>
      </c>
      <c r="F88" s="7">
        <v>7</v>
      </c>
      <c r="G88" s="8">
        <f t="shared" si="3"/>
        <v>7.5</v>
      </c>
      <c r="H88" s="8">
        <f t="shared" si="4"/>
        <v>8.65</v>
      </c>
      <c r="I88" s="8">
        <f t="shared" si="5"/>
        <v>11.5</v>
      </c>
    </row>
    <row r="89" spans="1:9">
      <c r="A89" s="2" t="s">
        <v>90</v>
      </c>
      <c r="B89" s="3">
        <v>90.7</v>
      </c>
      <c r="C89" s="4">
        <v>1.744</v>
      </c>
      <c r="D89" s="7">
        <v>5</v>
      </c>
      <c r="E89" s="7">
        <v>6.25</v>
      </c>
      <c r="F89" s="7">
        <v>7.5</v>
      </c>
      <c r="G89" s="8">
        <f t="shared" si="3"/>
        <v>8.15</v>
      </c>
      <c r="H89" s="8">
        <f t="shared" si="4"/>
        <v>9.4</v>
      </c>
      <c r="I89" s="8">
        <f t="shared" si="5"/>
        <v>12.5</v>
      </c>
    </row>
    <row r="90" spans="1:9">
      <c r="A90" s="2" t="s">
        <v>91</v>
      </c>
      <c r="B90" s="3">
        <v>106</v>
      </c>
      <c r="C90" s="4">
        <v>1.877</v>
      </c>
      <c r="D90" s="7">
        <v>5.5</v>
      </c>
      <c r="E90" s="7">
        <v>6.75</v>
      </c>
      <c r="F90" s="7">
        <v>8</v>
      </c>
      <c r="G90" s="8">
        <f t="shared" si="3"/>
        <v>8.8000000000000007</v>
      </c>
      <c r="H90" s="8">
        <f t="shared" si="4"/>
        <v>10.15</v>
      </c>
      <c r="I90" s="8">
        <f t="shared" si="5"/>
        <v>13.5</v>
      </c>
    </row>
    <row r="91" spans="1:9">
      <c r="A91" s="2" t="s">
        <v>92</v>
      </c>
      <c r="B91" s="3">
        <v>122</v>
      </c>
      <c r="C91" s="4">
        <v>2.0150000000000001</v>
      </c>
      <c r="D91" s="7">
        <v>6</v>
      </c>
      <c r="E91" s="7">
        <v>7.25</v>
      </c>
      <c r="F91" s="7">
        <v>8.5</v>
      </c>
      <c r="G91" s="8">
        <f t="shared" si="3"/>
        <v>9.4500000000000011</v>
      </c>
      <c r="H91" s="8">
        <f t="shared" si="4"/>
        <v>10.9</v>
      </c>
      <c r="I91" s="8">
        <f t="shared" si="5"/>
        <v>14.5</v>
      </c>
    </row>
    <row r="92" spans="1:9">
      <c r="A92" s="2" t="s">
        <v>93</v>
      </c>
      <c r="B92" s="3">
        <v>6.1</v>
      </c>
      <c r="C92" s="4">
        <v>0.30399999999999999</v>
      </c>
      <c r="D92" s="7">
        <v>0.75</v>
      </c>
      <c r="E92" s="7">
        <v>0.92</v>
      </c>
      <c r="F92" s="7">
        <v>1.1000000000000001</v>
      </c>
      <c r="G92" s="8">
        <f t="shared" si="3"/>
        <v>1.2000000000000002</v>
      </c>
      <c r="H92" s="8">
        <f t="shared" si="4"/>
        <v>1.4000000000000001</v>
      </c>
      <c r="I92" s="8">
        <f t="shared" si="5"/>
        <v>1.85</v>
      </c>
    </row>
    <row r="93" spans="1:9">
      <c r="A93" s="2" t="s">
        <v>94</v>
      </c>
      <c r="B93" s="3">
        <v>8.5</v>
      </c>
      <c r="C93" s="4">
        <v>0.37</v>
      </c>
      <c r="D93" s="7">
        <v>0.96</v>
      </c>
      <c r="E93" s="7">
        <v>1.2</v>
      </c>
      <c r="F93" s="7">
        <v>1.44</v>
      </c>
      <c r="G93" s="8">
        <f t="shared" si="3"/>
        <v>1.55</v>
      </c>
      <c r="H93" s="8">
        <f t="shared" si="4"/>
        <v>1.8</v>
      </c>
      <c r="I93" s="8">
        <f t="shared" si="5"/>
        <v>2.4000000000000004</v>
      </c>
    </row>
    <row r="94" spans="1:9">
      <c r="A94" s="2" t="s">
        <v>95</v>
      </c>
      <c r="B94" s="3">
        <v>11.1</v>
      </c>
      <c r="C94" s="4">
        <v>0.439</v>
      </c>
      <c r="D94" s="7">
        <v>1.17</v>
      </c>
      <c r="E94" s="7">
        <v>1.47</v>
      </c>
      <c r="F94" s="7">
        <v>1.78</v>
      </c>
      <c r="G94" s="8">
        <f t="shared" si="3"/>
        <v>1.9000000000000001</v>
      </c>
      <c r="H94" s="8">
        <f t="shared" si="4"/>
        <v>2.2000000000000002</v>
      </c>
      <c r="I94" s="8">
        <f t="shared" si="5"/>
        <v>2.95</v>
      </c>
    </row>
    <row r="95" spans="1:9">
      <c r="A95" s="2" t="s">
        <v>96</v>
      </c>
      <c r="B95" s="3">
        <v>14.3</v>
      </c>
      <c r="C95" s="4">
        <v>0.502</v>
      </c>
      <c r="D95" s="7">
        <v>1.38</v>
      </c>
      <c r="E95" s="7">
        <v>1.74</v>
      </c>
      <c r="F95" s="7">
        <v>2.11</v>
      </c>
      <c r="G95" s="8">
        <f t="shared" si="3"/>
        <v>2.25</v>
      </c>
      <c r="H95" s="8">
        <f t="shared" si="4"/>
        <v>2.6</v>
      </c>
      <c r="I95" s="8">
        <f t="shared" si="5"/>
        <v>3.5</v>
      </c>
    </row>
    <row r="96" spans="1:9">
      <c r="A96" s="2" t="s">
        <v>97</v>
      </c>
      <c r="B96" s="3">
        <v>17.899999999999999</v>
      </c>
      <c r="C96" s="4">
        <v>0.57499999999999996</v>
      </c>
      <c r="D96" s="7">
        <v>1.59</v>
      </c>
      <c r="E96" s="7">
        <v>2.0099999999999998</v>
      </c>
      <c r="F96" s="7">
        <v>2.44</v>
      </c>
      <c r="G96" s="8">
        <f t="shared" si="3"/>
        <v>2.6</v>
      </c>
      <c r="H96" s="8">
        <f t="shared" si="4"/>
        <v>3</v>
      </c>
      <c r="I96" s="8">
        <f t="shared" si="5"/>
        <v>4</v>
      </c>
    </row>
    <row r="97" spans="1:9">
      <c r="A97" s="2" t="s">
        <v>98</v>
      </c>
      <c r="B97" s="3">
        <v>21.9</v>
      </c>
      <c r="C97" s="4">
        <v>0.64</v>
      </c>
      <c r="D97" s="7">
        <v>1.8</v>
      </c>
      <c r="E97" s="7">
        <v>2.29</v>
      </c>
      <c r="F97" s="7">
        <v>2.78</v>
      </c>
      <c r="G97" s="8">
        <f t="shared" si="3"/>
        <v>3</v>
      </c>
      <c r="H97" s="8">
        <f t="shared" si="4"/>
        <v>3.45</v>
      </c>
      <c r="I97" s="8">
        <f t="shared" si="5"/>
        <v>4.6000000000000005</v>
      </c>
    </row>
    <row r="98" spans="1:9">
      <c r="A98" s="2" t="s">
        <v>99</v>
      </c>
      <c r="B98" s="3">
        <v>26.2</v>
      </c>
      <c r="C98" s="4">
        <v>0.70899999999999996</v>
      </c>
      <c r="D98" s="7">
        <v>2.0099999999999998</v>
      </c>
      <c r="E98" s="7">
        <v>2.56</v>
      </c>
      <c r="F98" s="7">
        <v>3.12</v>
      </c>
      <c r="G98" s="8">
        <f t="shared" si="3"/>
        <v>3.35</v>
      </c>
      <c r="H98" s="8">
        <f t="shared" si="4"/>
        <v>3.85</v>
      </c>
      <c r="I98" s="8">
        <f t="shared" si="5"/>
        <v>5.1000000000000005</v>
      </c>
    </row>
    <row r="99" spans="1:9">
      <c r="A99" s="2" t="s">
        <v>100</v>
      </c>
      <c r="B99" s="3">
        <v>31.1</v>
      </c>
      <c r="C99" s="4">
        <v>0.77500000000000002</v>
      </c>
      <c r="D99" s="7">
        <v>2.2200000000000002</v>
      </c>
      <c r="E99" s="7">
        <v>2.84</v>
      </c>
      <c r="F99" s="7">
        <v>3.46</v>
      </c>
      <c r="G99" s="8">
        <f t="shared" si="3"/>
        <v>3.7</v>
      </c>
      <c r="H99" s="8">
        <f t="shared" si="4"/>
        <v>4.25</v>
      </c>
      <c r="I99" s="8">
        <f t="shared" si="5"/>
        <v>5.7</v>
      </c>
    </row>
    <row r="100" spans="1:9">
      <c r="A100" s="2" t="s">
        <v>101</v>
      </c>
      <c r="B100" s="3">
        <v>36.200000000000003</v>
      </c>
      <c r="C100" s="4">
        <v>0.84399999999999997</v>
      </c>
      <c r="D100" s="7">
        <v>2.4300000000000002</v>
      </c>
      <c r="E100" s="7">
        <v>3.11</v>
      </c>
      <c r="F100" s="7">
        <v>3.8</v>
      </c>
      <c r="G100" s="8">
        <f t="shared" si="3"/>
        <v>4.05</v>
      </c>
      <c r="H100" s="8">
        <f t="shared" si="4"/>
        <v>4.6500000000000004</v>
      </c>
      <c r="I100" s="8">
        <f t="shared" si="5"/>
        <v>6.2</v>
      </c>
    </row>
    <row r="101" spans="1:9">
      <c r="A101" s="2" t="s">
        <v>102</v>
      </c>
      <c r="B101" s="3">
        <v>41.9</v>
      </c>
      <c r="C101" s="4">
        <v>0.90600000000000003</v>
      </c>
      <c r="D101" s="7">
        <v>2.64</v>
      </c>
      <c r="E101" s="7">
        <v>3.39</v>
      </c>
      <c r="F101" s="7">
        <v>4.1399999999999997</v>
      </c>
      <c r="G101" s="8">
        <f t="shared" si="3"/>
        <v>4.4000000000000004</v>
      </c>
      <c r="H101" s="8">
        <f t="shared" si="4"/>
        <v>5.1000000000000005</v>
      </c>
      <c r="I101" s="8">
        <f t="shared" si="5"/>
        <v>6.8000000000000007</v>
      </c>
    </row>
    <row r="102" spans="1:9">
      <c r="A102" s="2" t="s">
        <v>103</v>
      </c>
      <c r="B102" s="3">
        <v>47.9</v>
      </c>
      <c r="C102" s="4">
        <v>0.96599999999999997</v>
      </c>
      <c r="D102" s="7">
        <v>2.64</v>
      </c>
      <c r="E102" s="7">
        <v>3.39</v>
      </c>
      <c r="F102" s="7">
        <v>4.1399999999999997</v>
      </c>
      <c r="G102" s="8">
        <f t="shared" si="3"/>
        <v>4.4000000000000004</v>
      </c>
      <c r="H102" s="8">
        <f t="shared" si="4"/>
        <v>5.1000000000000005</v>
      </c>
      <c r="I102" s="8">
        <f t="shared" si="5"/>
        <v>6.8000000000000007</v>
      </c>
    </row>
    <row r="103" spans="1:9">
      <c r="A103" s="2" t="s">
        <v>104</v>
      </c>
      <c r="B103" s="3">
        <v>54.2</v>
      </c>
      <c r="C103" s="4">
        <v>1.03</v>
      </c>
      <c r="D103" s="7">
        <v>2.85</v>
      </c>
      <c r="E103" s="7">
        <v>3.66</v>
      </c>
      <c r="F103" s="7">
        <v>4.47</v>
      </c>
      <c r="G103" s="8">
        <f t="shared" si="3"/>
        <v>4.75</v>
      </c>
      <c r="H103" s="8">
        <f t="shared" si="4"/>
        <v>5.5</v>
      </c>
      <c r="I103" s="8">
        <f t="shared" si="5"/>
        <v>7.3000000000000007</v>
      </c>
    </row>
    <row r="104" spans="1:9">
      <c r="A104" s="2" t="s">
        <v>105</v>
      </c>
      <c r="B104" s="3">
        <v>61</v>
      </c>
      <c r="C104" s="4">
        <v>1.0900000000000001</v>
      </c>
      <c r="D104" s="7">
        <v>3.06</v>
      </c>
      <c r="E104" s="7">
        <v>3.9</v>
      </c>
      <c r="F104" s="7">
        <v>4.8099999999999996</v>
      </c>
      <c r="G104" s="8">
        <f t="shared" si="3"/>
        <v>5.0500000000000007</v>
      </c>
      <c r="H104" s="8">
        <f t="shared" si="4"/>
        <v>5.8500000000000005</v>
      </c>
      <c r="I104" s="8">
        <f t="shared" si="5"/>
        <v>7.8000000000000007</v>
      </c>
    </row>
    <row r="105" spans="1:9">
      <c r="A105" s="2" t="s">
        <v>106</v>
      </c>
      <c r="B105" s="3">
        <v>68</v>
      </c>
      <c r="C105" s="4">
        <v>1.1499999999999999</v>
      </c>
      <c r="D105" s="7">
        <v>3.27</v>
      </c>
      <c r="E105" s="7">
        <v>4.21</v>
      </c>
      <c r="F105" s="7">
        <v>5.15</v>
      </c>
      <c r="G105" s="8">
        <f t="shared" si="3"/>
        <v>5.45</v>
      </c>
      <c r="H105" s="8">
        <f t="shared" si="4"/>
        <v>6.3000000000000007</v>
      </c>
      <c r="I105" s="8">
        <f t="shared" si="5"/>
        <v>8.4</v>
      </c>
    </row>
    <row r="106" spans="1:9">
      <c r="A106" s="2" t="s">
        <v>107</v>
      </c>
      <c r="B106" s="3">
        <v>76.099999999999994</v>
      </c>
      <c r="C106" s="4">
        <v>1.21</v>
      </c>
      <c r="D106" s="7">
        <v>3.8</v>
      </c>
      <c r="E106" s="7">
        <v>4.8</v>
      </c>
      <c r="F106" s="7">
        <v>5.8</v>
      </c>
      <c r="G106" s="8">
        <f t="shared" si="3"/>
        <v>6.25</v>
      </c>
      <c r="H106" s="8">
        <f t="shared" si="4"/>
        <v>7.2</v>
      </c>
      <c r="I106" s="8">
        <f t="shared" si="5"/>
        <v>9.6000000000000014</v>
      </c>
    </row>
    <row r="107" spans="1:9">
      <c r="A107" s="2" t="s">
        <v>108</v>
      </c>
      <c r="B107" s="3">
        <v>84</v>
      </c>
      <c r="C107" s="4">
        <v>1.27</v>
      </c>
      <c r="D107" s="7">
        <v>4.0999999999999996</v>
      </c>
      <c r="E107" s="7">
        <v>5.0999999999999996</v>
      </c>
      <c r="F107" s="7">
        <v>6.1</v>
      </c>
      <c r="G107" s="8">
        <f t="shared" si="3"/>
        <v>6.65</v>
      </c>
      <c r="H107" s="8">
        <f t="shared" si="4"/>
        <v>7.65</v>
      </c>
      <c r="I107" s="8">
        <f t="shared" si="5"/>
        <v>10.200000000000001</v>
      </c>
    </row>
    <row r="108" spans="1:9">
      <c r="A108" s="2" t="s">
        <v>109</v>
      </c>
      <c r="B108" s="3">
        <v>92.4</v>
      </c>
      <c r="C108" s="4">
        <v>1.33</v>
      </c>
      <c r="D108" s="7">
        <v>4.5</v>
      </c>
      <c r="E108" s="7">
        <v>5.75</v>
      </c>
      <c r="F108" s="7">
        <v>7</v>
      </c>
      <c r="G108" s="8">
        <f t="shared" si="3"/>
        <v>7.5</v>
      </c>
      <c r="H108" s="8">
        <f t="shared" si="4"/>
        <v>8.65</v>
      </c>
      <c r="I108" s="8">
        <f t="shared" si="5"/>
        <v>11.5</v>
      </c>
    </row>
    <row r="109" spans="1:9">
      <c r="A109" s="2" t="s">
        <v>110</v>
      </c>
      <c r="B109" s="3">
        <v>115</v>
      </c>
      <c r="C109" s="4">
        <v>1.48</v>
      </c>
      <c r="D109" s="7">
        <v>5</v>
      </c>
      <c r="E109" s="7">
        <v>6.25</v>
      </c>
      <c r="F109" s="7">
        <v>7.5</v>
      </c>
      <c r="G109" s="8">
        <f t="shared" si="3"/>
        <v>8.15</v>
      </c>
      <c r="H109" s="8">
        <f t="shared" si="4"/>
        <v>9.4</v>
      </c>
      <c r="I109" s="8">
        <f t="shared" si="5"/>
        <v>12.5</v>
      </c>
    </row>
    <row r="110" spans="1:9">
      <c r="A110" s="2" t="s">
        <v>111</v>
      </c>
      <c r="B110" s="3">
        <v>141</v>
      </c>
      <c r="C110" s="4">
        <v>1.63</v>
      </c>
      <c r="D110" s="7">
        <v>5.5</v>
      </c>
      <c r="E110" s="7">
        <v>6.75</v>
      </c>
      <c r="F110" s="7">
        <v>8</v>
      </c>
      <c r="G110" s="8">
        <f t="shared" si="3"/>
        <v>8.8000000000000007</v>
      </c>
      <c r="H110" s="8">
        <f t="shared" si="4"/>
        <v>10.15</v>
      </c>
      <c r="I110" s="8">
        <f t="shared" si="5"/>
        <v>13.5</v>
      </c>
    </row>
    <row r="111" spans="1:9">
      <c r="A111" s="2" t="s">
        <v>112</v>
      </c>
      <c r="B111" s="3">
        <v>166</v>
      </c>
      <c r="C111" s="4">
        <v>1.8</v>
      </c>
      <c r="D111" s="7">
        <v>6.25</v>
      </c>
      <c r="E111" s="7">
        <v>7.5</v>
      </c>
      <c r="F111" s="7">
        <v>8.75</v>
      </c>
      <c r="G111" s="8">
        <f t="shared" si="3"/>
        <v>9.75</v>
      </c>
      <c r="H111" s="8">
        <f t="shared" si="4"/>
        <v>11.25</v>
      </c>
      <c r="I111" s="8">
        <f t="shared" si="5"/>
        <v>15</v>
      </c>
    </row>
    <row r="112" spans="1:9">
      <c r="A112" s="2" t="s">
        <v>113</v>
      </c>
      <c r="B112" s="3">
        <v>2032</v>
      </c>
      <c r="C112" s="4">
        <v>1.92</v>
      </c>
      <c r="D112" s="7">
        <v>6.75</v>
      </c>
      <c r="E112" s="7">
        <v>8</v>
      </c>
      <c r="F112" s="7">
        <v>9.25</v>
      </c>
      <c r="G112" s="8">
        <f t="shared" si="3"/>
        <v>10.4</v>
      </c>
      <c r="H112" s="8">
        <f t="shared" si="4"/>
        <v>12</v>
      </c>
      <c r="I112" s="8">
        <f t="shared" si="5"/>
        <v>16</v>
      </c>
    </row>
    <row r="113" spans="1:9">
      <c r="A113" s="2" t="s">
        <v>114</v>
      </c>
      <c r="B113" s="3">
        <v>1.8055000000000001</v>
      </c>
      <c r="C113" s="4">
        <v>0.16</v>
      </c>
      <c r="G113" s="8">
        <f t="shared" si="3"/>
        <v>0</v>
      </c>
      <c r="H113" s="8">
        <f t="shared" si="4"/>
        <v>0</v>
      </c>
      <c r="I113" s="8">
        <f t="shared" si="5"/>
        <v>0</v>
      </c>
    </row>
    <row r="114" spans="1:9">
      <c r="A114" s="2" t="s">
        <v>115</v>
      </c>
      <c r="B114" s="3">
        <v>2.3844375000000002</v>
      </c>
      <c r="C114" s="4">
        <v>0.16</v>
      </c>
      <c r="G114" s="8">
        <f t="shared" si="3"/>
        <v>0</v>
      </c>
      <c r="H114" s="8">
        <f t="shared" si="4"/>
        <v>0</v>
      </c>
      <c r="I114" s="8">
        <f t="shared" si="5"/>
        <v>0</v>
      </c>
    </row>
    <row r="115" spans="1:9">
      <c r="A115" s="2" t="s">
        <v>116</v>
      </c>
      <c r="B115" s="3">
        <v>2.9437500000000001</v>
      </c>
      <c r="C115" s="4">
        <v>0.16</v>
      </c>
      <c r="G115" s="8">
        <f t="shared" si="3"/>
        <v>0</v>
      </c>
      <c r="H115" s="8">
        <f t="shared" si="4"/>
        <v>0</v>
      </c>
      <c r="I115" s="8">
        <f t="shared" si="5"/>
        <v>0</v>
      </c>
    </row>
    <row r="116" spans="1:9">
      <c r="A116" s="2" t="s">
        <v>117</v>
      </c>
      <c r="B116" s="3">
        <v>3.4834375</v>
      </c>
      <c r="C116" s="4">
        <v>0.16</v>
      </c>
      <c r="G116" s="8">
        <f t="shared" si="3"/>
        <v>0</v>
      </c>
      <c r="H116" s="8">
        <f t="shared" si="4"/>
        <v>0</v>
      </c>
      <c r="I116" s="8">
        <f t="shared" si="5"/>
        <v>0</v>
      </c>
    </row>
    <row r="117" spans="1:9">
      <c r="A117" s="2" t="s">
        <v>118</v>
      </c>
      <c r="B117" s="3">
        <v>4.5235624999999997</v>
      </c>
      <c r="C117" s="4">
        <v>0.16</v>
      </c>
      <c r="D117" s="7">
        <v>0.7</v>
      </c>
      <c r="E117" s="7">
        <v>0.85</v>
      </c>
      <c r="F117" s="7">
        <v>1</v>
      </c>
      <c r="G117" s="8">
        <f t="shared" si="3"/>
        <v>1.1000000000000001</v>
      </c>
      <c r="H117" s="8">
        <f t="shared" si="4"/>
        <v>1.3</v>
      </c>
      <c r="I117" s="8">
        <f t="shared" si="5"/>
        <v>1.7000000000000002</v>
      </c>
    </row>
    <row r="118" spans="1:9">
      <c r="A118" s="2" t="s">
        <v>119</v>
      </c>
      <c r="B118" s="3">
        <v>2.6984374999999998</v>
      </c>
      <c r="C118" s="4">
        <v>0.18</v>
      </c>
      <c r="G118" s="8">
        <f t="shared" si="3"/>
        <v>0</v>
      </c>
      <c r="H118" s="8">
        <f t="shared" si="4"/>
        <v>0</v>
      </c>
      <c r="I118" s="8">
        <f t="shared" si="5"/>
        <v>0</v>
      </c>
    </row>
    <row r="119" spans="1:9">
      <c r="A119" s="2" t="s">
        <v>120</v>
      </c>
      <c r="B119" s="3">
        <v>3.9544375</v>
      </c>
      <c r="C119" s="4">
        <v>0.18</v>
      </c>
      <c r="G119" s="8">
        <f t="shared" si="3"/>
        <v>0</v>
      </c>
      <c r="H119" s="8">
        <f t="shared" si="4"/>
        <v>0</v>
      </c>
      <c r="I119" s="8">
        <f t="shared" si="5"/>
        <v>0</v>
      </c>
    </row>
    <row r="120" spans="1:9">
      <c r="A120" s="2" t="s">
        <v>121</v>
      </c>
      <c r="B120" s="3">
        <v>3.0124374999999999</v>
      </c>
      <c r="C120" s="4">
        <v>0.2</v>
      </c>
      <c r="G120" s="8">
        <f t="shared" ref="G120:G125" si="6">MROUND($E120*1.3,0.05)</f>
        <v>0</v>
      </c>
      <c r="H120" s="8">
        <f t="shared" ref="H120:H125" si="7">MROUND($E120*1.5,0.05)</f>
        <v>0</v>
      </c>
      <c r="I120" s="8">
        <f t="shared" ref="I120:I125" si="8">MROUND($E120*2,0.05)</f>
        <v>0</v>
      </c>
    </row>
    <row r="121" spans="1:9">
      <c r="A121" s="2" t="s">
        <v>122</v>
      </c>
      <c r="B121" s="3">
        <v>4.8473750000000004</v>
      </c>
      <c r="C121" s="4">
        <v>0.2</v>
      </c>
      <c r="D121" s="7">
        <v>0.65</v>
      </c>
      <c r="E121" s="7">
        <v>0.8</v>
      </c>
      <c r="F121" s="7">
        <v>0.95</v>
      </c>
      <c r="G121" s="8">
        <f t="shared" si="6"/>
        <v>1.05</v>
      </c>
      <c r="H121" s="8">
        <f t="shared" si="7"/>
        <v>1.2000000000000002</v>
      </c>
      <c r="I121" s="8">
        <f t="shared" si="8"/>
        <v>1.6</v>
      </c>
    </row>
    <row r="122" spans="1:9">
      <c r="A122" s="2" t="s">
        <v>123</v>
      </c>
      <c r="B122" s="3">
        <v>5.779562499999999</v>
      </c>
      <c r="C122" s="4">
        <v>0.2</v>
      </c>
      <c r="D122" s="7">
        <v>0.7</v>
      </c>
      <c r="E122" s="7">
        <v>0.85</v>
      </c>
      <c r="F122" s="7">
        <v>1</v>
      </c>
      <c r="G122" s="8">
        <f t="shared" si="6"/>
        <v>1.1000000000000001</v>
      </c>
      <c r="H122" s="8">
        <f t="shared" si="7"/>
        <v>1.3</v>
      </c>
      <c r="I122" s="8">
        <f t="shared" si="8"/>
        <v>1.7000000000000002</v>
      </c>
    </row>
    <row r="123" spans="1:9">
      <c r="A123" s="2" t="s">
        <v>124</v>
      </c>
      <c r="B123" s="3">
        <v>7.0650000000000004</v>
      </c>
      <c r="C123" s="4">
        <v>0.2</v>
      </c>
      <c r="D123" s="7">
        <v>0.75</v>
      </c>
      <c r="E123" s="7">
        <v>0.9</v>
      </c>
      <c r="F123" s="7">
        <v>1.05</v>
      </c>
      <c r="G123" s="8">
        <f t="shared" si="6"/>
        <v>1.1500000000000001</v>
      </c>
      <c r="H123" s="8">
        <f t="shared" si="7"/>
        <v>1.35</v>
      </c>
      <c r="I123" s="8">
        <f t="shared" si="8"/>
        <v>1.8</v>
      </c>
    </row>
    <row r="124" spans="1:9">
      <c r="A124" s="2" t="s">
        <v>125</v>
      </c>
      <c r="B124" s="3">
        <v>8.2915624999999995</v>
      </c>
      <c r="C124" s="4">
        <v>0.2</v>
      </c>
      <c r="D124" s="7">
        <v>0.9</v>
      </c>
      <c r="E124" s="7">
        <v>1.05</v>
      </c>
      <c r="F124" s="7">
        <v>1.2</v>
      </c>
      <c r="G124" s="8">
        <f t="shared" si="6"/>
        <v>1.35</v>
      </c>
      <c r="H124" s="8">
        <f t="shared" si="7"/>
        <v>1.6</v>
      </c>
      <c r="I124" s="8">
        <f t="shared" si="8"/>
        <v>2.1</v>
      </c>
    </row>
    <row r="125" spans="1:9">
      <c r="A125" s="2" t="s">
        <v>126</v>
      </c>
      <c r="B125" s="3">
        <v>10.55</v>
      </c>
      <c r="C125" s="4">
        <v>0.2</v>
      </c>
      <c r="D125" s="7">
        <v>1</v>
      </c>
      <c r="E125" s="7">
        <v>1.1499999999999999</v>
      </c>
      <c r="F125" s="7">
        <v>1.2</v>
      </c>
      <c r="G125" s="8">
        <f t="shared" si="6"/>
        <v>1.5</v>
      </c>
      <c r="H125" s="8">
        <f t="shared" si="7"/>
        <v>1.7000000000000002</v>
      </c>
      <c r="I125" s="8">
        <f t="shared" si="8"/>
        <v>2.3000000000000003</v>
      </c>
    </row>
    <row r="126" spans="1:9">
      <c r="A126" s="2" t="s">
        <v>127</v>
      </c>
      <c r="B126" s="3">
        <v>3.6404375</v>
      </c>
      <c r="C126" s="4">
        <v>0.24</v>
      </c>
      <c r="G126" s="8">
        <f t="shared" si="3"/>
        <v>0</v>
      </c>
      <c r="H126" s="8">
        <f t="shared" si="4"/>
        <v>0</v>
      </c>
      <c r="I126" s="8">
        <f t="shared" si="5"/>
        <v>0</v>
      </c>
    </row>
    <row r="127" spans="1:9">
      <c r="A127" s="2" t="s">
        <v>128</v>
      </c>
      <c r="B127" s="3">
        <v>5.4164999999999992</v>
      </c>
      <c r="C127" s="4">
        <v>0.24</v>
      </c>
      <c r="D127" s="7">
        <v>0.7</v>
      </c>
      <c r="E127" s="7">
        <v>0.85</v>
      </c>
      <c r="F127" s="7">
        <v>1</v>
      </c>
      <c r="G127" s="8">
        <f t="shared" si="3"/>
        <v>1.1000000000000001</v>
      </c>
      <c r="H127" s="8">
        <f t="shared" si="4"/>
        <v>1.3</v>
      </c>
      <c r="I127" s="8">
        <f t="shared" si="5"/>
        <v>1.7000000000000002</v>
      </c>
    </row>
    <row r="128" spans="1:9">
      <c r="A128" s="2" t="s">
        <v>129</v>
      </c>
      <c r="B128" s="3">
        <v>7.0355624999999993</v>
      </c>
      <c r="C128" s="4">
        <v>0.24</v>
      </c>
      <c r="D128" s="7">
        <v>0.75</v>
      </c>
      <c r="E128" s="7">
        <v>0.9</v>
      </c>
      <c r="F128" s="7">
        <v>1.05</v>
      </c>
      <c r="G128" s="8">
        <f t="shared" si="3"/>
        <v>1.1500000000000001</v>
      </c>
      <c r="H128" s="8">
        <f t="shared" si="4"/>
        <v>1.35</v>
      </c>
      <c r="I128" s="8">
        <f t="shared" si="5"/>
        <v>1.8</v>
      </c>
    </row>
    <row r="129" spans="1:9">
      <c r="A129" s="2" t="s">
        <v>130</v>
      </c>
      <c r="B129" s="3">
        <v>8.6349999999999998</v>
      </c>
      <c r="C129" s="4">
        <v>0.24</v>
      </c>
      <c r="G129" s="8">
        <f t="shared" si="3"/>
        <v>0</v>
      </c>
      <c r="H129" s="8">
        <f t="shared" si="4"/>
        <v>0</v>
      </c>
      <c r="I129" s="8">
        <f t="shared" si="5"/>
        <v>0</v>
      </c>
    </row>
    <row r="130" spans="1:9">
      <c r="A130" s="2" t="s">
        <v>131</v>
      </c>
      <c r="B130" s="3">
        <v>10.205</v>
      </c>
      <c r="C130" s="4">
        <v>0.24</v>
      </c>
      <c r="D130" s="7">
        <v>0.95</v>
      </c>
      <c r="E130" s="7">
        <v>1.1000000000000001</v>
      </c>
      <c r="F130" s="7">
        <v>1.25</v>
      </c>
      <c r="G130" s="8">
        <f t="shared" ref="G130:G193" si="9">MROUND($E130*1.3,0.05)</f>
        <v>1.4500000000000002</v>
      </c>
      <c r="H130" s="8">
        <f t="shared" ref="H130:H193" si="10">MROUND($E130*1.5,0.05)</f>
        <v>1.6500000000000001</v>
      </c>
      <c r="I130" s="8">
        <f t="shared" ref="I130:I193" si="11">MROUND($E130*2,0.05)</f>
        <v>2.2000000000000002</v>
      </c>
    </row>
    <row r="131" spans="1:9">
      <c r="A131" s="2" t="s">
        <v>132</v>
      </c>
      <c r="B131" s="3">
        <v>13.050625</v>
      </c>
      <c r="C131" s="4">
        <v>0.24</v>
      </c>
      <c r="D131" s="7">
        <v>1.05</v>
      </c>
      <c r="E131" s="7">
        <v>1.2</v>
      </c>
      <c r="F131" s="7">
        <v>1.35</v>
      </c>
      <c r="G131" s="8">
        <f t="shared" si="9"/>
        <v>1.55</v>
      </c>
      <c r="H131" s="8">
        <f t="shared" si="10"/>
        <v>1.8</v>
      </c>
      <c r="I131" s="8">
        <f t="shared" si="11"/>
        <v>2.4000000000000004</v>
      </c>
    </row>
    <row r="132" spans="1:9">
      <c r="A132" s="2" t="s">
        <v>133</v>
      </c>
      <c r="B132" s="3">
        <v>4.1703124999999996</v>
      </c>
      <c r="C132" s="4">
        <v>0.28000000000000003</v>
      </c>
      <c r="G132" s="8">
        <f t="shared" si="9"/>
        <v>0</v>
      </c>
      <c r="H132" s="8">
        <f t="shared" si="10"/>
        <v>0</v>
      </c>
      <c r="I132" s="8">
        <f t="shared" si="11"/>
        <v>0</v>
      </c>
    </row>
    <row r="133" spans="1:9">
      <c r="A133" s="2" t="s">
        <v>134</v>
      </c>
      <c r="B133" s="3">
        <v>6.3094374999999996</v>
      </c>
      <c r="C133" s="4">
        <v>0.28000000000000003</v>
      </c>
      <c r="D133" s="7">
        <v>0.7</v>
      </c>
      <c r="E133" s="7">
        <v>0.85</v>
      </c>
      <c r="F133" s="7">
        <v>1</v>
      </c>
      <c r="G133" s="8">
        <f t="shared" si="9"/>
        <v>1.1000000000000001</v>
      </c>
      <c r="H133" s="8">
        <f t="shared" si="10"/>
        <v>1.3</v>
      </c>
      <c r="I133" s="8">
        <f t="shared" si="11"/>
        <v>1.7000000000000002</v>
      </c>
    </row>
    <row r="134" spans="1:9">
      <c r="A134" s="2" t="s">
        <v>135</v>
      </c>
      <c r="B134" s="3">
        <v>8.2915624999999995</v>
      </c>
      <c r="C134" s="4">
        <v>0.28000000000000003</v>
      </c>
      <c r="D134" s="7">
        <v>0.75</v>
      </c>
      <c r="E134" s="7">
        <v>0.9</v>
      </c>
      <c r="F134" s="7">
        <v>1.05</v>
      </c>
      <c r="G134" s="8">
        <f t="shared" si="9"/>
        <v>1.1500000000000001</v>
      </c>
      <c r="H134" s="8">
        <f t="shared" si="10"/>
        <v>1.35</v>
      </c>
      <c r="I134" s="8">
        <f t="shared" si="11"/>
        <v>1.8</v>
      </c>
    </row>
    <row r="135" spans="1:9">
      <c r="A135" s="2" t="s">
        <v>136</v>
      </c>
      <c r="B135" s="3">
        <v>10.205</v>
      </c>
      <c r="C135" s="4">
        <v>0.28000000000000003</v>
      </c>
      <c r="D135" s="7">
        <v>0.85</v>
      </c>
      <c r="E135" s="7">
        <v>1</v>
      </c>
      <c r="F135" s="7">
        <v>1.1499999999999999</v>
      </c>
      <c r="G135" s="8">
        <f t="shared" si="9"/>
        <v>1.3</v>
      </c>
      <c r="H135" s="8">
        <f t="shared" si="10"/>
        <v>1.5</v>
      </c>
      <c r="I135" s="8">
        <f t="shared" si="11"/>
        <v>2</v>
      </c>
    </row>
    <row r="136" spans="1:9">
      <c r="A136" s="2" t="s">
        <v>137</v>
      </c>
      <c r="B136" s="3">
        <v>12.069375000000001</v>
      </c>
      <c r="C136" s="4">
        <v>0.28000000000000003</v>
      </c>
      <c r="G136" s="8">
        <f t="shared" si="9"/>
        <v>0</v>
      </c>
      <c r="H136" s="8">
        <f t="shared" si="10"/>
        <v>0</v>
      </c>
      <c r="I136" s="8">
        <f t="shared" si="11"/>
        <v>0</v>
      </c>
    </row>
    <row r="137" spans="1:9">
      <c r="A137" s="2" t="s">
        <v>138</v>
      </c>
      <c r="B137" s="3">
        <v>15.601875</v>
      </c>
      <c r="C137" s="4">
        <v>0.28000000000000003</v>
      </c>
      <c r="D137" s="7">
        <v>1.1000000000000001</v>
      </c>
      <c r="E137" s="7">
        <v>1.25</v>
      </c>
      <c r="F137" s="7">
        <v>1.4</v>
      </c>
      <c r="G137" s="8">
        <f t="shared" si="9"/>
        <v>1.6500000000000001</v>
      </c>
      <c r="H137" s="8">
        <f t="shared" si="10"/>
        <v>1.9000000000000001</v>
      </c>
      <c r="I137" s="8">
        <f t="shared" si="11"/>
        <v>2.5</v>
      </c>
    </row>
    <row r="138" spans="1:9">
      <c r="A138" s="2" t="s">
        <v>139</v>
      </c>
      <c r="B138" s="3">
        <v>7.2514374999999998</v>
      </c>
      <c r="C138" s="4">
        <v>0.32</v>
      </c>
      <c r="D138" s="7">
        <v>0.9</v>
      </c>
      <c r="E138" s="7">
        <v>1.05</v>
      </c>
      <c r="F138" s="7">
        <v>1.4</v>
      </c>
      <c r="G138" s="8">
        <f t="shared" si="9"/>
        <v>1.35</v>
      </c>
      <c r="H138" s="8">
        <f t="shared" si="10"/>
        <v>1.6</v>
      </c>
      <c r="I138" s="8">
        <f t="shared" si="11"/>
        <v>2.1</v>
      </c>
    </row>
    <row r="139" spans="1:9">
      <c r="A139" s="2" t="s">
        <v>140</v>
      </c>
      <c r="B139" s="3">
        <v>9.5181249999999995</v>
      </c>
      <c r="C139" s="4">
        <v>0.32</v>
      </c>
      <c r="D139" s="7">
        <v>0.9</v>
      </c>
      <c r="E139" s="7">
        <v>1.05</v>
      </c>
      <c r="F139" s="7">
        <v>1.2</v>
      </c>
      <c r="G139" s="8">
        <f t="shared" si="9"/>
        <v>1.35</v>
      </c>
      <c r="H139" s="8">
        <f t="shared" si="10"/>
        <v>1.6</v>
      </c>
      <c r="I139" s="8">
        <f t="shared" si="11"/>
        <v>2.1</v>
      </c>
    </row>
    <row r="140" spans="1:9">
      <c r="A140" s="2" t="s">
        <v>141</v>
      </c>
      <c r="B140" s="3">
        <v>11.775</v>
      </c>
      <c r="C140" s="4">
        <v>0.32</v>
      </c>
      <c r="D140" s="7">
        <v>1.05</v>
      </c>
      <c r="E140" s="7">
        <v>1.2</v>
      </c>
      <c r="F140" s="7">
        <v>1.35</v>
      </c>
      <c r="G140" s="8">
        <f t="shared" si="9"/>
        <v>1.55</v>
      </c>
      <c r="H140" s="8">
        <f t="shared" si="10"/>
        <v>1.8</v>
      </c>
      <c r="I140" s="8">
        <f t="shared" si="11"/>
        <v>2.4000000000000004</v>
      </c>
    </row>
    <row r="141" spans="1:9">
      <c r="A141" s="2" t="s">
        <v>142</v>
      </c>
      <c r="B141" s="3">
        <v>13.93375</v>
      </c>
      <c r="C141" s="4">
        <v>0.32</v>
      </c>
      <c r="D141" s="7">
        <v>1.05</v>
      </c>
      <c r="E141" s="7">
        <v>1.2</v>
      </c>
      <c r="F141" s="7">
        <v>1.35</v>
      </c>
      <c r="G141" s="8">
        <f t="shared" si="9"/>
        <v>1.55</v>
      </c>
      <c r="H141" s="8">
        <f t="shared" si="10"/>
        <v>1.8</v>
      </c>
      <c r="I141" s="8">
        <f t="shared" si="11"/>
        <v>2.4000000000000004</v>
      </c>
    </row>
    <row r="142" spans="1:9">
      <c r="A142" s="2" t="s">
        <v>143</v>
      </c>
      <c r="B142" s="3">
        <v>14.58</v>
      </c>
      <c r="C142" s="4">
        <v>0.32</v>
      </c>
      <c r="D142" s="7">
        <v>1.05</v>
      </c>
      <c r="E142" s="7">
        <v>1.2</v>
      </c>
      <c r="F142" s="7">
        <v>1.35</v>
      </c>
      <c r="G142" s="8">
        <f t="shared" si="9"/>
        <v>1.55</v>
      </c>
      <c r="H142" s="8">
        <f t="shared" si="10"/>
        <v>1.8</v>
      </c>
      <c r="I142" s="8">
        <f t="shared" si="11"/>
        <v>2.4000000000000004</v>
      </c>
    </row>
    <row r="143" spans="1:9">
      <c r="A143" s="2" t="s">
        <v>144</v>
      </c>
      <c r="B143" s="3">
        <v>16.25</v>
      </c>
      <c r="C143" s="4">
        <v>0.32</v>
      </c>
      <c r="D143" s="7">
        <v>1.1499999999999999</v>
      </c>
      <c r="E143" s="7">
        <v>1.3</v>
      </c>
      <c r="F143" s="7">
        <v>1.45</v>
      </c>
      <c r="G143" s="8">
        <f t="shared" si="9"/>
        <v>1.7000000000000002</v>
      </c>
      <c r="H143" s="8">
        <f t="shared" si="10"/>
        <v>1.9500000000000002</v>
      </c>
      <c r="I143" s="8">
        <f t="shared" si="11"/>
        <v>2.6</v>
      </c>
    </row>
    <row r="144" spans="1:9">
      <c r="A144" s="2" t="s">
        <v>145</v>
      </c>
      <c r="B144" s="3">
        <v>18.055</v>
      </c>
      <c r="C144" s="4">
        <v>0.32</v>
      </c>
      <c r="D144" s="7">
        <v>1.1499999999999999</v>
      </c>
      <c r="E144" s="7">
        <v>1.3</v>
      </c>
      <c r="F144" s="7">
        <v>1.45</v>
      </c>
      <c r="G144" s="8">
        <f t="shared" si="9"/>
        <v>1.7000000000000002</v>
      </c>
      <c r="H144" s="8">
        <f t="shared" si="10"/>
        <v>1.9500000000000002</v>
      </c>
      <c r="I144" s="8">
        <f t="shared" si="11"/>
        <v>2.6</v>
      </c>
    </row>
    <row r="145" spans="1:9">
      <c r="A145" s="2" t="s">
        <v>146</v>
      </c>
      <c r="B145" s="3">
        <v>21.98</v>
      </c>
      <c r="C145" s="4">
        <v>0.32</v>
      </c>
      <c r="D145" s="7">
        <v>1.5</v>
      </c>
      <c r="E145" s="7">
        <v>1.7</v>
      </c>
      <c r="F145" s="7">
        <v>1.9</v>
      </c>
      <c r="G145" s="8">
        <f t="shared" si="9"/>
        <v>2.2000000000000002</v>
      </c>
      <c r="H145" s="8">
        <f t="shared" si="10"/>
        <v>2.5500000000000003</v>
      </c>
      <c r="I145" s="8">
        <f t="shared" si="11"/>
        <v>3.4000000000000004</v>
      </c>
    </row>
    <row r="146" spans="1:9">
      <c r="A146" s="2" t="s">
        <v>147</v>
      </c>
      <c r="B146" s="3">
        <v>8.1934374999999999</v>
      </c>
      <c r="C146" s="4">
        <v>0.36</v>
      </c>
      <c r="D146" s="7">
        <v>1</v>
      </c>
      <c r="E146" s="7">
        <v>1.1499999999999999</v>
      </c>
      <c r="F146" s="7">
        <v>1.3</v>
      </c>
      <c r="G146" s="8">
        <f t="shared" si="9"/>
        <v>1.5</v>
      </c>
      <c r="H146" s="8">
        <f t="shared" si="10"/>
        <v>1.7000000000000002</v>
      </c>
      <c r="I146" s="8">
        <f t="shared" si="11"/>
        <v>2.3000000000000003</v>
      </c>
    </row>
    <row r="147" spans="1:9">
      <c r="A147" s="2" t="s">
        <v>148</v>
      </c>
      <c r="B147" s="3">
        <v>10.793749999999999</v>
      </c>
      <c r="C147" s="4">
        <v>0.36</v>
      </c>
      <c r="D147" s="7">
        <v>1</v>
      </c>
      <c r="E147" s="7">
        <v>1.1499999999999999</v>
      </c>
      <c r="F147" s="7">
        <v>1.3</v>
      </c>
      <c r="G147" s="8">
        <f t="shared" si="9"/>
        <v>1.5</v>
      </c>
      <c r="H147" s="8">
        <f t="shared" si="10"/>
        <v>1.7000000000000002</v>
      </c>
      <c r="I147" s="8">
        <f t="shared" si="11"/>
        <v>2.3000000000000003</v>
      </c>
    </row>
    <row r="148" spans="1:9">
      <c r="A148" s="2" t="s">
        <v>149</v>
      </c>
      <c r="B148" s="3">
        <v>13.345000000000001</v>
      </c>
      <c r="C148" s="4">
        <v>0.36</v>
      </c>
      <c r="D148" s="7">
        <v>1.25</v>
      </c>
      <c r="E148" s="7">
        <v>1.4</v>
      </c>
      <c r="F148" s="7">
        <v>1.55</v>
      </c>
      <c r="G148" s="8">
        <f t="shared" si="9"/>
        <v>1.8</v>
      </c>
      <c r="H148" s="8">
        <f t="shared" si="10"/>
        <v>2.1</v>
      </c>
      <c r="I148" s="8">
        <f t="shared" si="11"/>
        <v>2.8000000000000003</v>
      </c>
    </row>
    <row r="149" spans="1:9">
      <c r="A149" s="2" t="s">
        <v>150</v>
      </c>
      <c r="B149" s="3">
        <v>15.50375</v>
      </c>
      <c r="C149" s="4">
        <v>0.36</v>
      </c>
      <c r="D149" s="7">
        <v>1.25</v>
      </c>
      <c r="E149" s="7">
        <v>1.4</v>
      </c>
      <c r="F149" s="7">
        <v>1.55</v>
      </c>
      <c r="G149" s="8">
        <f t="shared" si="9"/>
        <v>1.8</v>
      </c>
      <c r="H149" s="8">
        <f t="shared" si="10"/>
        <v>2.1</v>
      </c>
      <c r="I149" s="8">
        <f t="shared" si="11"/>
        <v>2.8000000000000003</v>
      </c>
    </row>
    <row r="150" spans="1:9">
      <c r="A150" s="2" t="s">
        <v>151</v>
      </c>
      <c r="B150" s="3">
        <v>16.559999999999999</v>
      </c>
      <c r="C150" s="4">
        <v>0.36</v>
      </c>
      <c r="D150" s="7">
        <v>1.25</v>
      </c>
      <c r="E150" s="7">
        <v>1.4</v>
      </c>
      <c r="F150" s="7">
        <v>1.55</v>
      </c>
      <c r="G150" s="8">
        <f t="shared" si="9"/>
        <v>1.8</v>
      </c>
      <c r="H150" s="8">
        <f t="shared" si="10"/>
        <v>2.1</v>
      </c>
      <c r="I150" s="8">
        <f t="shared" si="11"/>
        <v>2.8000000000000003</v>
      </c>
    </row>
    <row r="151" spans="1:9">
      <c r="A151" s="2" t="s">
        <v>152</v>
      </c>
      <c r="B151" s="3">
        <v>20.6</v>
      </c>
      <c r="C151" s="4">
        <v>0.36</v>
      </c>
      <c r="D151" s="7">
        <v>1.5</v>
      </c>
      <c r="E151" s="7">
        <v>1.65</v>
      </c>
      <c r="F151" s="7">
        <v>1.8</v>
      </c>
      <c r="G151" s="8">
        <f t="shared" si="9"/>
        <v>2.15</v>
      </c>
      <c r="H151" s="8">
        <f t="shared" si="10"/>
        <v>2.4500000000000002</v>
      </c>
      <c r="I151" s="8">
        <f t="shared" si="11"/>
        <v>3.3000000000000003</v>
      </c>
    </row>
    <row r="152" spans="1:9">
      <c r="A152" s="2" t="s">
        <v>153</v>
      </c>
      <c r="B152" s="3">
        <v>25.12</v>
      </c>
      <c r="C152" s="4">
        <v>0.36</v>
      </c>
      <c r="D152" s="7">
        <v>1.75</v>
      </c>
      <c r="E152" s="7">
        <v>1.9</v>
      </c>
      <c r="F152" s="7">
        <v>2.0499999999999998</v>
      </c>
      <c r="G152" s="8">
        <f t="shared" si="9"/>
        <v>2.4500000000000002</v>
      </c>
      <c r="H152" s="8">
        <f t="shared" si="10"/>
        <v>2.85</v>
      </c>
      <c r="I152" s="8">
        <f t="shared" si="11"/>
        <v>3.8000000000000003</v>
      </c>
    </row>
    <row r="153" spans="1:9">
      <c r="A153" s="2" t="s">
        <v>154</v>
      </c>
      <c r="B153" s="3">
        <v>9.1059999999999981</v>
      </c>
      <c r="C153" s="4">
        <v>0.4</v>
      </c>
      <c r="D153" s="7">
        <v>1.5</v>
      </c>
      <c r="E153" s="7">
        <v>1.7</v>
      </c>
      <c r="F153" s="7">
        <v>1.9</v>
      </c>
      <c r="G153" s="8">
        <f t="shared" si="9"/>
        <v>2.2000000000000002</v>
      </c>
      <c r="H153" s="8">
        <f t="shared" si="10"/>
        <v>2.5500000000000003</v>
      </c>
      <c r="I153" s="8">
        <f t="shared" si="11"/>
        <v>3.4000000000000004</v>
      </c>
    </row>
    <row r="154" spans="1:9">
      <c r="A154" s="2" t="s">
        <v>155</v>
      </c>
      <c r="B154" s="3">
        <v>12.069375000000001</v>
      </c>
      <c r="C154" s="4">
        <v>0.4</v>
      </c>
      <c r="D154" s="7">
        <v>1.5</v>
      </c>
      <c r="E154" s="7">
        <v>1.7</v>
      </c>
      <c r="F154" s="7">
        <v>1.9</v>
      </c>
      <c r="G154" s="8">
        <f t="shared" si="9"/>
        <v>2.2000000000000002</v>
      </c>
      <c r="H154" s="8">
        <f t="shared" si="10"/>
        <v>2.5500000000000003</v>
      </c>
      <c r="I154" s="8">
        <f t="shared" si="11"/>
        <v>3.4000000000000004</v>
      </c>
    </row>
    <row r="155" spans="1:9">
      <c r="A155" s="2" t="s">
        <v>156</v>
      </c>
      <c r="B155" s="3">
        <v>14.914999999999999</v>
      </c>
      <c r="C155" s="4">
        <v>0.4</v>
      </c>
      <c r="D155" s="7">
        <v>1.5</v>
      </c>
      <c r="E155" s="7">
        <v>1.7</v>
      </c>
      <c r="F155" s="7">
        <v>1.9</v>
      </c>
      <c r="G155" s="8">
        <f t="shared" si="9"/>
        <v>2.2000000000000002</v>
      </c>
      <c r="H155" s="8">
        <f t="shared" si="10"/>
        <v>2.5500000000000003</v>
      </c>
      <c r="I155" s="8">
        <f t="shared" si="11"/>
        <v>3.4000000000000004</v>
      </c>
    </row>
    <row r="156" spans="1:9">
      <c r="A156" s="2" t="s">
        <v>157</v>
      </c>
      <c r="B156" s="3">
        <v>17.662500000000001</v>
      </c>
      <c r="C156" s="4">
        <v>0.4</v>
      </c>
      <c r="D156" s="7">
        <v>1.55</v>
      </c>
      <c r="E156" s="7">
        <v>1.75</v>
      </c>
      <c r="F156" s="7">
        <v>2</v>
      </c>
      <c r="G156" s="8">
        <f t="shared" si="9"/>
        <v>2.25</v>
      </c>
      <c r="H156" s="8">
        <f t="shared" si="10"/>
        <v>2.6500000000000004</v>
      </c>
      <c r="I156" s="8">
        <f t="shared" si="11"/>
        <v>3.5</v>
      </c>
    </row>
    <row r="157" spans="1:9">
      <c r="A157" s="2" t="s">
        <v>158</v>
      </c>
      <c r="B157" s="3">
        <v>20.41</v>
      </c>
      <c r="C157" s="4">
        <v>0.4</v>
      </c>
      <c r="G157" s="8">
        <f t="shared" si="9"/>
        <v>0</v>
      </c>
      <c r="H157" s="8">
        <f t="shared" si="10"/>
        <v>0</v>
      </c>
      <c r="I157" s="8">
        <f t="shared" si="11"/>
        <v>0</v>
      </c>
    </row>
    <row r="158" spans="1:9">
      <c r="A158" s="2" t="s">
        <v>159</v>
      </c>
      <c r="B158" s="3">
        <v>23.451875000000001</v>
      </c>
      <c r="C158" s="4">
        <v>0.4</v>
      </c>
      <c r="D158" s="7">
        <v>1.6</v>
      </c>
      <c r="E158" s="7">
        <v>1.8</v>
      </c>
      <c r="F158" s="7">
        <v>2.1</v>
      </c>
      <c r="G158" s="8">
        <f t="shared" si="9"/>
        <v>2.35</v>
      </c>
      <c r="H158" s="8">
        <f t="shared" si="10"/>
        <v>2.7</v>
      </c>
      <c r="I158" s="8">
        <f t="shared" si="11"/>
        <v>3.6</v>
      </c>
    </row>
    <row r="159" spans="1:9">
      <c r="A159" s="2" t="s">
        <v>160</v>
      </c>
      <c r="B159" s="3">
        <v>28.26</v>
      </c>
      <c r="C159" s="4">
        <v>0.4</v>
      </c>
      <c r="D159" s="7">
        <v>2</v>
      </c>
      <c r="E159" s="7">
        <v>2.25</v>
      </c>
      <c r="F159" s="7">
        <v>2.5</v>
      </c>
      <c r="G159" s="8">
        <f t="shared" si="9"/>
        <v>2.95</v>
      </c>
      <c r="H159" s="8">
        <f t="shared" si="10"/>
        <v>3.4000000000000004</v>
      </c>
      <c r="I159" s="8">
        <f t="shared" si="11"/>
        <v>4.5</v>
      </c>
    </row>
    <row r="160" spans="1:9">
      <c r="A160" s="2" t="s">
        <v>161</v>
      </c>
      <c r="B160" s="3">
        <v>13.345000000000001</v>
      </c>
      <c r="C160" s="4">
        <v>0.44</v>
      </c>
      <c r="D160" s="7">
        <v>1.55</v>
      </c>
      <c r="E160" s="7">
        <v>1.75</v>
      </c>
      <c r="F160" s="7">
        <v>1.95</v>
      </c>
      <c r="G160" s="8">
        <f t="shared" si="9"/>
        <v>2.25</v>
      </c>
      <c r="H160" s="8">
        <f t="shared" si="10"/>
        <v>2.6500000000000004</v>
      </c>
      <c r="I160" s="8">
        <f t="shared" si="11"/>
        <v>3.5</v>
      </c>
    </row>
    <row r="161" spans="1:9">
      <c r="A161" s="2" t="s">
        <v>162</v>
      </c>
      <c r="B161" s="3">
        <v>16.484999999999999</v>
      </c>
      <c r="C161" s="4">
        <v>0.44</v>
      </c>
      <c r="D161" s="7">
        <v>1.55</v>
      </c>
      <c r="E161" s="7">
        <v>1.75</v>
      </c>
      <c r="F161" s="7">
        <v>1.95</v>
      </c>
      <c r="G161" s="8">
        <f t="shared" si="9"/>
        <v>2.25</v>
      </c>
      <c r="H161" s="8">
        <f t="shared" si="10"/>
        <v>2.6500000000000004</v>
      </c>
      <c r="I161" s="8">
        <f t="shared" si="11"/>
        <v>3.5</v>
      </c>
    </row>
    <row r="162" spans="1:9">
      <c r="A162" s="2" t="s">
        <v>163</v>
      </c>
      <c r="B162" s="3">
        <v>25.62</v>
      </c>
      <c r="C162" s="4">
        <v>0.44</v>
      </c>
      <c r="D162" s="7">
        <v>1.8</v>
      </c>
      <c r="E162" s="7">
        <v>2.0499999999999998</v>
      </c>
      <c r="F162" s="7">
        <v>2.2999999999999998</v>
      </c>
      <c r="G162" s="8">
        <f t="shared" si="9"/>
        <v>2.6500000000000004</v>
      </c>
      <c r="H162" s="8">
        <f t="shared" si="10"/>
        <v>3.0500000000000003</v>
      </c>
      <c r="I162" s="8">
        <f t="shared" si="11"/>
        <v>4.1000000000000005</v>
      </c>
    </row>
    <row r="163" spans="1:9">
      <c r="A163" s="2" t="s">
        <v>164</v>
      </c>
      <c r="B163" s="3">
        <v>31.4</v>
      </c>
      <c r="C163" s="4">
        <v>0.44</v>
      </c>
      <c r="D163" s="7">
        <v>2</v>
      </c>
      <c r="E163" s="7">
        <v>2.25</v>
      </c>
      <c r="F163" s="7">
        <v>2.5</v>
      </c>
      <c r="G163" s="8">
        <f t="shared" si="9"/>
        <v>2.95</v>
      </c>
      <c r="H163" s="8">
        <f t="shared" si="10"/>
        <v>3.4000000000000004</v>
      </c>
      <c r="I163" s="8">
        <f t="shared" si="11"/>
        <v>4.5</v>
      </c>
    </row>
    <row r="164" spans="1:9">
      <c r="A164" s="2" t="s">
        <v>165</v>
      </c>
      <c r="B164" s="3">
        <v>10.793749999999999</v>
      </c>
      <c r="C164" s="4">
        <v>0.48</v>
      </c>
      <c r="D164" s="7">
        <v>1.6</v>
      </c>
      <c r="E164" s="7">
        <v>1.8</v>
      </c>
      <c r="F164" s="7">
        <v>2</v>
      </c>
      <c r="G164" s="8">
        <f t="shared" si="9"/>
        <v>2.35</v>
      </c>
      <c r="H164" s="8">
        <f t="shared" si="10"/>
        <v>2.7</v>
      </c>
      <c r="I164" s="8">
        <f t="shared" si="11"/>
        <v>3.6</v>
      </c>
    </row>
    <row r="165" spans="1:9">
      <c r="A165" s="2" t="s">
        <v>166</v>
      </c>
      <c r="B165" s="3">
        <v>14.620625</v>
      </c>
      <c r="C165" s="4">
        <v>0.48</v>
      </c>
      <c r="D165" s="7">
        <v>1.6</v>
      </c>
      <c r="E165" s="7">
        <v>1.8</v>
      </c>
      <c r="F165" s="7">
        <v>2</v>
      </c>
      <c r="G165" s="8">
        <f t="shared" si="9"/>
        <v>2.35</v>
      </c>
      <c r="H165" s="8">
        <f t="shared" si="10"/>
        <v>2.7</v>
      </c>
      <c r="I165" s="8">
        <f t="shared" si="11"/>
        <v>3.6</v>
      </c>
    </row>
    <row r="166" spans="1:9">
      <c r="A166" s="2" t="s">
        <v>167</v>
      </c>
      <c r="B166" s="3">
        <v>18.055</v>
      </c>
      <c r="C166" s="4">
        <v>0.48</v>
      </c>
      <c r="D166" s="7">
        <v>1.6</v>
      </c>
      <c r="E166" s="7">
        <v>1.8</v>
      </c>
      <c r="F166" s="7">
        <v>2</v>
      </c>
      <c r="G166" s="8">
        <f t="shared" si="9"/>
        <v>2.35</v>
      </c>
      <c r="H166" s="8">
        <f t="shared" si="10"/>
        <v>2.7</v>
      </c>
      <c r="I166" s="8">
        <f t="shared" si="11"/>
        <v>3.6</v>
      </c>
    </row>
    <row r="167" spans="1:9">
      <c r="A167" s="2" t="s">
        <v>168</v>
      </c>
      <c r="B167" s="3">
        <v>21.489374999999999</v>
      </c>
      <c r="C167" s="4">
        <v>0.48</v>
      </c>
      <c r="D167" s="7">
        <v>1.7</v>
      </c>
      <c r="E167" s="7">
        <v>1.9</v>
      </c>
      <c r="F167" s="7">
        <v>2.1</v>
      </c>
      <c r="G167" s="8">
        <f t="shared" si="9"/>
        <v>2.4500000000000002</v>
      </c>
      <c r="H167" s="8">
        <f t="shared" si="10"/>
        <v>2.85</v>
      </c>
      <c r="I167" s="8">
        <f t="shared" si="11"/>
        <v>3.8000000000000003</v>
      </c>
    </row>
    <row r="168" spans="1:9">
      <c r="A168" s="2" t="s">
        <v>169</v>
      </c>
      <c r="B168" s="3">
        <v>22.49</v>
      </c>
      <c r="C168" s="4">
        <v>0.48</v>
      </c>
      <c r="D168" s="7">
        <v>1.7</v>
      </c>
      <c r="E168" s="7">
        <v>1.9</v>
      </c>
      <c r="F168" s="7">
        <v>2.1</v>
      </c>
      <c r="G168" s="8">
        <f t="shared" si="9"/>
        <v>2.4500000000000002</v>
      </c>
      <c r="H168" s="8">
        <f t="shared" si="10"/>
        <v>2.85</v>
      </c>
      <c r="I168" s="8">
        <f t="shared" si="11"/>
        <v>3.8000000000000003</v>
      </c>
    </row>
    <row r="169" spans="1:9">
      <c r="A169" s="2" t="s">
        <v>170</v>
      </c>
      <c r="B169" s="3">
        <v>25.905000000000001</v>
      </c>
      <c r="C169" s="4">
        <v>0.48</v>
      </c>
      <c r="D169" s="7">
        <v>1.9</v>
      </c>
      <c r="E169" s="7">
        <v>2.15</v>
      </c>
      <c r="F169" s="7">
        <v>2.4</v>
      </c>
      <c r="G169" s="8">
        <f t="shared" si="9"/>
        <v>2.8000000000000003</v>
      </c>
      <c r="H169" s="8">
        <f t="shared" si="10"/>
        <v>3.2</v>
      </c>
      <c r="I169" s="8">
        <f t="shared" si="11"/>
        <v>4.3</v>
      </c>
    </row>
    <row r="170" spans="1:9">
      <c r="A170" s="2" t="s">
        <v>171</v>
      </c>
      <c r="B170" s="3">
        <v>34.54</v>
      </c>
      <c r="C170" s="4">
        <v>0.48</v>
      </c>
      <c r="D170" s="7">
        <v>2.1</v>
      </c>
      <c r="E170" s="7">
        <v>2.35</v>
      </c>
      <c r="F170" s="7">
        <v>2.6</v>
      </c>
      <c r="G170" s="8">
        <f t="shared" si="9"/>
        <v>3.0500000000000003</v>
      </c>
      <c r="H170" s="8">
        <f t="shared" si="10"/>
        <v>3.5500000000000003</v>
      </c>
      <c r="I170" s="8">
        <f t="shared" si="11"/>
        <v>4.7</v>
      </c>
    </row>
    <row r="171" spans="1:9">
      <c r="A171" s="2" t="s">
        <v>172</v>
      </c>
      <c r="B171" s="3">
        <v>40.69</v>
      </c>
      <c r="C171" s="4">
        <v>0.48</v>
      </c>
      <c r="D171" s="7">
        <v>2.5</v>
      </c>
      <c r="E171" s="7">
        <v>2.75</v>
      </c>
      <c r="F171" s="7">
        <v>3</v>
      </c>
      <c r="G171" s="8">
        <f t="shared" si="9"/>
        <v>3.6</v>
      </c>
      <c r="H171" s="8">
        <f t="shared" si="10"/>
        <v>4.1500000000000004</v>
      </c>
      <c r="I171" s="8">
        <f t="shared" si="11"/>
        <v>5.5</v>
      </c>
    </row>
    <row r="172" spans="1:9">
      <c r="A172" s="2" t="s">
        <v>173</v>
      </c>
      <c r="B172" s="3">
        <v>17.100000000000001</v>
      </c>
      <c r="C172" s="4">
        <v>0.56000000000000005</v>
      </c>
      <c r="D172" s="7">
        <v>1.6</v>
      </c>
      <c r="E172" s="7">
        <v>1.75</v>
      </c>
      <c r="F172" s="7">
        <v>1.9</v>
      </c>
      <c r="G172" s="8">
        <f t="shared" si="9"/>
        <v>2.25</v>
      </c>
      <c r="H172" s="8">
        <f t="shared" si="10"/>
        <v>2.6500000000000004</v>
      </c>
      <c r="I172" s="8">
        <f t="shared" si="11"/>
        <v>3.5</v>
      </c>
    </row>
    <row r="173" spans="1:9">
      <c r="A173" s="2" t="s">
        <v>174</v>
      </c>
      <c r="B173" s="3">
        <v>21.2</v>
      </c>
      <c r="C173" s="4">
        <v>0.56000000000000005</v>
      </c>
      <c r="D173" s="7">
        <v>1.6</v>
      </c>
      <c r="E173" s="7">
        <v>1.75</v>
      </c>
      <c r="F173" s="7">
        <v>1.9</v>
      </c>
      <c r="G173" s="8">
        <f t="shared" si="9"/>
        <v>2.25</v>
      </c>
      <c r="H173" s="8">
        <f t="shared" si="10"/>
        <v>2.6500000000000004</v>
      </c>
      <c r="I173" s="8">
        <f t="shared" si="11"/>
        <v>3.5</v>
      </c>
    </row>
    <row r="174" spans="1:9">
      <c r="A174" s="2" t="s">
        <v>175</v>
      </c>
      <c r="B174" s="3">
        <v>33.200000000000003</v>
      </c>
      <c r="C174" s="4">
        <v>0.56000000000000005</v>
      </c>
      <c r="D174" s="7">
        <v>2.0499999999999998</v>
      </c>
      <c r="E174" s="7">
        <v>2.2999999999999998</v>
      </c>
      <c r="F174" s="7">
        <v>2.5499999999999998</v>
      </c>
      <c r="G174" s="8">
        <f t="shared" si="9"/>
        <v>3</v>
      </c>
      <c r="H174" s="8">
        <f t="shared" si="10"/>
        <v>3.45</v>
      </c>
      <c r="I174" s="8">
        <f t="shared" si="11"/>
        <v>4.6000000000000005</v>
      </c>
    </row>
    <row r="175" spans="1:9">
      <c r="A175" s="2" t="s">
        <v>176</v>
      </c>
      <c r="B175" s="3">
        <v>40.799999999999997</v>
      </c>
      <c r="C175" s="4">
        <v>0.56000000000000005</v>
      </c>
      <c r="D175" s="7">
        <v>2.2999999999999998</v>
      </c>
      <c r="E175" s="7">
        <v>2.5499999999999998</v>
      </c>
      <c r="F175" s="7">
        <v>2.8</v>
      </c>
      <c r="G175" s="8">
        <f t="shared" si="9"/>
        <v>3.3000000000000003</v>
      </c>
      <c r="H175" s="8">
        <f t="shared" si="10"/>
        <v>3.8000000000000003</v>
      </c>
      <c r="I175" s="8">
        <f t="shared" si="11"/>
        <v>5.1000000000000005</v>
      </c>
    </row>
    <row r="176" spans="1:9">
      <c r="A176" s="2" t="s">
        <v>177</v>
      </c>
      <c r="B176" s="3">
        <v>50</v>
      </c>
      <c r="C176" s="4">
        <v>0.56000000000000005</v>
      </c>
      <c r="D176" s="7">
        <v>2.6</v>
      </c>
      <c r="E176" s="7">
        <v>2.85</v>
      </c>
      <c r="F176" s="7">
        <v>3.1</v>
      </c>
      <c r="G176" s="8">
        <f t="shared" si="9"/>
        <v>3.7</v>
      </c>
      <c r="H176" s="8">
        <f t="shared" si="10"/>
        <v>4.3</v>
      </c>
      <c r="I176" s="8">
        <f t="shared" si="11"/>
        <v>5.7</v>
      </c>
    </row>
    <row r="177" spans="1:9">
      <c r="A177" s="2" t="s">
        <v>178</v>
      </c>
      <c r="B177" s="3">
        <v>13.73</v>
      </c>
      <c r="C177" s="4">
        <v>0.6</v>
      </c>
      <c r="G177" s="8">
        <f t="shared" si="9"/>
        <v>0</v>
      </c>
      <c r="H177" s="8">
        <f t="shared" si="10"/>
        <v>0</v>
      </c>
      <c r="I177" s="8">
        <f t="shared" si="11"/>
        <v>0</v>
      </c>
    </row>
    <row r="178" spans="1:9">
      <c r="A178" s="2" t="s">
        <v>179</v>
      </c>
      <c r="B178" s="3">
        <v>18.010000000000002</v>
      </c>
      <c r="C178" s="4">
        <v>0.6</v>
      </c>
      <c r="D178" s="7">
        <v>1.7</v>
      </c>
      <c r="E178" s="7">
        <v>1.85</v>
      </c>
      <c r="F178" s="7">
        <v>2</v>
      </c>
      <c r="G178" s="8">
        <f t="shared" si="9"/>
        <v>2.4000000000000004</v>
      </c>
      <c r="H178" s="8">
        <f t="shared" si="10"/>
        <v>2.8000000000000003</v>
      </c>
      <c r="I178" s="8">
        <f t="shared" si="11"/>
        <v>3.7</v>
      </c>
    </row>
    <row r="179" spans="1:9">
      <c r="A179" s="2" t="s">
        <v>180</v>
      </c>
      <c r="B179" s="3">
        <v>22.765000000000001</v>
      </c>
      <c r="C179" s="4">
        <v>0.6</v>
      </c>
      <c r="D179" s="7">
        <v>1.7</v>
      </c>
      <c r="E179" s="7">
        <v>1.85</v>
      </c>
      <c r="F179" s="7">
        <v>2</v>
      </c>
      <c r="G179" s="8">
        <f t="shared" si="9"/>
        <v>2.4000000000000004</v>
      </c>
      <c r="H179" s="8">
        <f t="shared" si="10"/>
        <v>2.8000000000000003</v>
      </c>
      <c r="I179" s="8">
        <f t="shared" si="11"/>
        <v>3.7</v>
      </c>
    </row>
    <row r="180" spans="1:9">
      <c r="A180" s="2" t="s">
        <v>181</v>
      </c>
      <c r="B180" s="3">
        <v>24.76</v>
      </c>
      <c r="C180" s="4">
        <v>0.6</v>
      </c>
      <c r="G180" s="8">
        <f t="shared" si="9"/>
        <v>0</v>
      </c>
      <c r="H180" s="8">
        <f t="shared" si="10"/>
        <v>0</v>
      </c>
      <c r="I180" s="8">
        <f t="shared" si="11"/>
        <v>0</v>
      </c>
    </row>
    <row r="181" spans="1:9">
      <c r="A181" s="2" t="s">
        <v>182</v>
      </c>
      <c r="B181" s="3">
        <v>26.4</v>
      </c>
      <c r="C181" s="4">
        <v>0.6</v>
      </c>
      <c r="D181" s="7">
        <v>1.9</v>
      </c>
      <c r="E181" s="7">
        <v>2.0499999999999998</v>
      </c>
      <c r="F181" s="7">
        <v>2.2000000000000002</v>
      </c>
      <c r="G181" s="8">
        <f t="shared" si="9"/>
        <v>2.6500000000000004</v>
      </c>
      <c r="H181" s="8">
        <f t="shared" si="10"/>
        <v>3.0500000000000003</v>
      </c>
      <c r="I181" s="8">
        <f t="shared" si="11"/>
        <v>4.1000000000000005</v>
      </c>
    </row>
    <row r="182" spans="1:9">
      <c r="A182" s="2" t="s">
        <v>183</v>
      </c>
      <c r="B182" s="3">
        <v>30.11</v>
      </c>
      <c r="C182" s="4">
        <v>0.6</v>
      </c>
      <c r="G182" s="8">
        <f t="shared" si="9"/>
        <v>0</v>
      </c>
      <c r="H182" s="8">
        <f t="shared" si="10"/>
        <v>0</v>
      </c>
      <c r="I182" s="8">
        <f t="shared" si="11"/>
        <v>0</v>
      </c>
    </row>
    <row r="183" spans="1:9">
      <c r="A183" s="2" t="s">
        <v>184</v>
      </c>
      <c r="B183" s="3">
        <v>33.950000000000003</v>
      </c>
      <c r="C183" s="4">
        <v>0.6</v>
      </c>
      <c r="D183" s="7">
        <v>2.1</v>
      </c>
      <c r="E183" s="7">
        <v>2.35</v>
      </c>
      <c r="F183" s="7">
        <v>2.6</v>
      </c>
      <c r="G183" s="8">
        <f t="shared" si="9"/>
        <v>3.0500000000000003</v>
      </c>
      <c r="H183" s="8">
        <f t="shared" si="10"/>
        <v>3.5500000000000003</v>
      </c>
      <c r="I183" s="8">
        <f t="shared" si="11"/>
        <v>4.7</v>
      </c>
    </row>
    <row r="184" spans="1:9">
      <c r="A184" s="2" t="s">
        <v>185</v>
      </c>
      <c r="B184" s="3">
        <v>36.409999999999997</v>
      </c>
      <c r="C184" s="4">
        <v>0.6</v>
      </c>
      <c r="G184" s="8">
        <f t="shared" si="9"/>
        <v>0</v>
      </c>
      <c r="H184" s="8">
        <f t="shared" si="10"/>
        <v>0</v>
      </c>
      <c r="I184" s="8">
        <f t="shared" si="11"/>
        <v>0</v>
      </c>
    </row>
    <row r="185" spans="1:9">
      <c r="A185" s="2" t="s">
        <v>186</v>
      </c>
      <c r="B185" s="3">
        <v>40.590000000000003</v>
      </c>
      <c r="C185" s="4">
        <v>0.6</v>
      </c>
      <c r="D185" s="7">
        <v>2.2999999999999998</v>
      </c>
      <c r="E185" s="7">
        <v>2.5499999999999998</v>
      </c>
      <c r="F185" s="7">
        <v>2.8</v>
      </c>
      <c r="G185" s="8">
        <f t="shared" si="9"/>
        <v>3.3000000000000003</v>
      </c>
      <c r="H185" s="8">
        <f t="shared" si="10"/>
        <v>3.8000000000000003</v>
      </c>
      <c r="I185" s="8">
        <f t="shared" si="11"/>
        <v>5.1000000000000005</v>
      </c>
    </row>
    <row r="186" spans="1:9">
      <c r="A186" s="2" t="s">
        <v>187</v>
      </c>
      <c r="B186" s="3">
        <v>48.7</v>
      </c>
      <c r="C186" s="4">
        <v>0.6</v>
      </c>
      <c r="D186" s="7">
        <v>2.65</v>
      </c>
      <c r="E186" s="7">
        <v>2.9</v>
      </c>
      <c r="F186" s="7">
        <v>3.15</v>
      </c>
      <c r="G186" s="8">
        <f t="shared" si="9"/>
        <v>3.75</v>
      </c>
      <c r="H186" s="8">
        <f t="shared" si="10"/>
        <v>4.3500000000000005</v>
      </c>
      <c r="I186" s="8">
        <f t="shared" si="11"/>
        <v>5.8000000000000007</v>
      </c>
    </row>
    <row r="187" spans="1:9">
      <c r="A187" s="2" t="s">
        <v>188</v>
      </c>
      <c r="B187" s="3">
        <v>24.3</v>
      </c>
      <c r="C187" s="4">
        <v>0.64</v>
      </c>
      <c r="D187" s="7">
        <v>1.75</v>
      </c>
      <c r="E187" s="7">
        <v>1.9</v>
      </c>
      <c r="F187" s="7">
        <v>2.1</v>
      </c>
      <c r="G187" s="8">
        <f t="shared" si="9"/>
        <v>2.4500000000000002</v>
      </c>
      <c r="H187" s="8">
        <f t="shared" si="10"/>
        <v>2.85</v>
      </c>
      <c r="I187" s="8">
        <f t="shared" si="11"/>
        <v>3.8000000000000003</v>
      </c>
    </row>
    <row r="188" spans="1:9">
      <c r="A188" s="2" t="s">
        <v>189</v>
      </c>
      <c r="B188" s="3">
        <v>38.200000000000003</v>
      </c>
      <c r="C188" s="4">
        <v>0.64</v>
      </c>
      <c r="D188" s="7">
        <v>2.2000000000000002</v>
      </c>
      <c r="E188" s="7">
        <v>2.4500000000000002</v>
      </c>
      <c r="F188" s="7">
        <v>2.65</v>
      </c>
      <c r="G188" s="8">
        <f t="shared" si="9"/>
        <v>3.2</v>
      </c>
      <c r="H188" s="8">
        <f t="shared" si="10"/>
        <v>3.7</v>
      </c>
      <c r="I188" s="8">
        <f t="shared" si="11"/>
        <v>4.9000000000000004</v>
      </c>
    </row>
    <row r="189" spans="1:9">
      <c r="A189" s="2" t="s">
        <v>190</v>
      </c>
      <c r="B189" s="3">
        <v>47.1</v>
      </c>
      <c r="C189" s="4">
        <v>0.64</v>
      </c>
      <c r="D189" s="7">
        <v>2.2999999999999998</v>
      </c>
      <c r="E189" s="7">
        <v>2.5499999999999998</v>
      </c>
      <c r="F189" s="7">
        <v>2.8</v>
      </c>
      <c r="G189" s="8">
        <f t="shared" si="9"/>
        <v>3.3000000000000003</v>
      </c>
      <c r="H189" s="8">
        <f t="shared" si="10"/>
        <v>3.8000000000000003</v>
      </c>
      <c r="I189" s="8">
        <f t="shared" si="11"/>
        <v>5.1000000000000005</v>
      </c>
    </row>
    <row r="190" spans="1:9">
      <c r="A190" s="2" t="s">
        <v>191</v>
      </c>
      <c r="B190" s="3">
        <v>55.8</v>
      </c>
      <c r="C190" s="4">
        <v>0.64</v>
      </c>
      <c r="D190" s="7">
        <v>2.7</v>
      </c>
      <c r="E190" s="7">
        <v>2.95</v>
      </c>
      <c r="F190" s="7">
        <v>3.2</v>
      </c>
      <c r="G190" s="8">
        <f t="shared" si="9"/>
        <v>3.85</v>
      </c>
      <c r="H190" s="8">
        <f t="shared" si="10"/>
        <v>4.45</v>
      </c>
      <c r="I190" s="8">
        <f t="shared" si="11"/>
        <v>5.9</v>
      </c>
    </row>
    <row r="191" spans="1:9">
      <c r="A191" s="2" t="s">
        <v>192</v>
      </c>
      <c r="B191" s="3">
        <v>26.97</v>
      </c>
      <c r="C191" s="4">
        <v>0.7</v>
      </c>
      <c r="G191" s="8">
        <f t="shared" si="9"/>
        <v>0</v>
      </c>
      <c r="H191" s="8">
        <f t="shared" si="10"/>
        <v>0</v>
      </c>
      <c r="I191" s="8">
        <f t="shared" si="11"/>
        <v>0</v>
      </c>
    </row>
    <row r="192" spans="1:9">
      <c r="A192" s="2" t="s">
        <v>193</v>
      </c>
      <c r="B192" s="3">
        <v>32.049999999999997</v>
      </c>
      <c r="C192" s="4">
        <v>0.7</v>
      </c>
      <c r="D192" s="7">
        <v>2.15</v>
      </c>
      <c r="E192" s="7">
        <v>2.35</v>
      </c>
      <c r="F192" s="7">
        <v>2.5499999999999998</v>
      </c>
      <c r="G192" s="8">
        <f t="shared" si="9"/>
        <v>3.0500000000000003</v>
      </c>
      <c r="H192" s="8">
        <f t="shared" si="10"/>
        <v>3.5500000000000003</v>
      </c>
      <c r="I192" s="8">
        <f t="shared" si="11"/>
        <v>4.7</v>
      </c>
    </row>
    <row r="193" spans="1:9">
      <c r="A193" s="2" t="s">
        <v>194</v>
      </c>
      <c r="B193" s="3">
        <v>33.29</v>
      </c>
      <c r="C193" s="4">
        <v>0.7</v>
      </c>
      <c r="G193" s="8">
        <f t="shared" si="9"/>
        <v>0</v>
      </c>
      <c r="H193" s="8">
        <f t="shared" si="10"/>
        <v>0</v>
      </c>
      <c r="I193" s="8">
        <f t="shared" si="11"/>
        <v>0</v>
      </c>
    </row>
    <row r="194" spans="1:9">
      <c r="A194" s="2" t="s">
        <v>195</v>
      </c>
      <c r="B194" s="3">
        <v>41.48</v>
      </c>
      <c r="C194" s="4">
        <v>0.7</v>
      </c>
      <c r="D194" s="7">
        <v>2.4500000000000002</v>
      </c>
      <c r="E194" s="7">
        <v>2.7</v>
      </c>
      <c r="F194" s="7">
        <v>2.95</v>
      </c>
      <c r="G194" s="8">
        <f t="shared" ref="G194:G257" si="12">MROUND($E194*1.3,0.05)</f>
        <v>3.5</v>
      </c>
      <c r="H194" s="8">
        <f t="shared" ref="H194:H257" si="13">MROUND($E194*1.5,0.05)</f>
        <v>4.05</v>
      </c>
      <c r="I194" s="8">
        <f t="shared" ref="I194:I257" si="14">MROUND($E194*2,0.05)</f>
        <v>5.4</v>
      </c>
    </row>
    <row r="195" spans="1:9">
      <c r="A195" s="2" t="s">
        <v>196</v>
      </c>
      <c r="B195" s="3">
        <v>50.01</v>
      </c>
      <c r="C195" s="4">
        <v>0.7</v>
      </c>
      <c r="D195" s="7">
        <v>2.5</v>
      </c>
      <c r="E195" s="7">
        <v>2.75</v>
      </c>
      <c r="F195" s="7">
        <v>3</v>
      </c>
      <c r="G195" s="8">
        <f t="shared" si="12"/>
        <v>3.6</v>
      </c>
      <c r="H195" s="8">
        <f t="shared" si="13"/>
        <v>4.1500000000000004</v>
      </c>
      <c r="I195" s="8">
        <f t="shared" si="14"/>
        <v>5.5</v>
      </c>
    </row>
    <row r="196" spans="1:9">
      <c r="A196" s="2" t="s">
        <v>197</v>
      </c>
      <c r="B196" s="3">
        <v>60.48</v>
      </c>
      <c r="C196" s="4">
        <v>0.7</v>
      </c>
      <c r="D196" s="7">
        <v>2.8</v>
      </c>
      <c r="E196" s="7">
        <v>3.05</v>
      </c>
      <c r="F196" s="7">
        <v>3.3</v>
      </c>
      <c r="G196" s="8">
        <f t="shared" si="12"/>
        <v>3.95</v>
      </c>
      <c r="H196" s="8">
        <f t="shared" si="13"/>
        <v>4.55</v>
      </c>
      <c r="I196" s="8">
        <f t="shared" si="14"/>
        <v>6.1000000000000005</v>
      </c>
    </row>
    <row r="197" spans="1:9">
      <c r="A197" s="2" t="s">
        <v>198</v>
      </c>
      <c r="B197" s="3">
        <v>35.82</v>
      </c>
      <c r="C197" s="4">
        <v>0.78</v>
      </c>
      <c r="D197" s="7">
        <v>2.25</v>
      </c>
      <c r="E197" s="7">
        <v>2.4500000000000002</v>
      </c>
      <c r="F197" s="7">
        <v>2.65</v>
      </c>
      <c r="G197" s="8">
        <f t="shared" si="12"/>
        <v>3.2</v>
      </c>
      <c r="H197" s="8">
        <f t="shared" si="13"/>
        <v>3.7</v>
      </c>
      <c r="I197" s="8">
        <f t="shared" si="14"/>
        <v>4.9000000000000004</v>
      </c>
    </row>
    <row r="198" spans="1:9">
      <c r="A198" s="2" t="s">
        <v>199</v>
      </c>
      <c r="B198" s="3">
        <v>46.51</v>
      </c>
      <c r="C198" s="4">
        <v>0.78</v>
      </c>
      <c r="D198" s="7">
        <v>2.6</v>
      </c>
      <c r="E198" s="7">
        <v>2.85</v>
      </c>
      <c r="F198" s="7">
        <v>3.1</v>
      </c>
      <c r="G198" s="8">
        <f t="shared" si="12"/>
        <v>3.7</v>
      </c>
      <c r="H198" s="8">
        <f t="shared" si="13"/>
        <v>4.3</v>
      </c>
      <c r="I198" s="8">
        <f t="shared" si="14"/>
        <v>5.7</v>
      </c>
    </row>
    <row r="199" spans="1:9">
      <c r="A199" s="2" t="s">
        <v>200</v>
      </c>
      <c r="B199" s="3">
        <v>56.29</v>
      </c>
      <c r="C199" s="4">
        <v>0.78</v>
      </c>
      <c r="D199" s="7">
        <v>2.8</v>
      </c>
      <c r="E199" s="7">
        <v>3.05</v>
      </c>
      <c r="F199" s="7">
        <v>3.3</v>
      </c>
      <c r="G199" s="8">
        <f t="shared" si="12"/>
        <v>3.95</v>
      </c>
      <c r="H199" s="8">
        <f t="shared" si="13"/>
        <v>4.55</v>
      </c>
      <c r="I199" s="8">
        <f t="shared" si="14"/>
        <v>6.1000000000000005</v>
      </c>
    </row>
    <row r="200" spans="1:9">
      <c r="A200" s="2" t="s">
        <v>201</v>
      </c>
      <c r="B200" s="3">
        <v>68.33</v>
      </c>
      <c r="C200" s="4">
        <v>0.78</v>
      </c>
      <c r="D200" s="7">
        <v>3</v>
      </c>
      <c r="E200" s="7">
        <v>3.25</v>
      </c>
      <c r="F200" s="7">
        <v>3.5</v>
      </c>
      <c r="G200" s="8">
        <f t="shared" si="12"/>
        <v>4.25</v>
      </c>
      <c r="H200" s="8">
        <f t="shared" si="13"/>
        <v>4.9000000000000004</v>
      </c>
      <c r="I200" s="8">
        <f t="shared" si="14"/>
        <v>6.5</v>
      </c>
    </row>
    <row r="201" spans="1:9">
      <c r="A201" s="2" t="s">
        <v>202</v>
      </c>
      <c r="B201" s="3">
        <v>92.45</v>
      </c>
      <c r="C201" s="4">
        <v>0.78</v>
      </c>
      <c r="D201" s="7">
        <v>4.3</v>
      </c>
      <c r="E201" s="7">
        <v>4.5999999999999996</v>
      </c>
      <c r="F201" s="7">
        <v>4.9000000000000004</v>
      </c>
      <c r="G201" s="8">
        <f t="shared" si="12"/>
        <v>6</v>
      </c>
      <c r="H201" s="8">
        <f t="shared" si="13"/>
        <v>6.9</v>
      </c>
      <c r="I201" s="8">
        <f t="shared" si="14"/>
        <v>9.2000000000000011</v>
      </c>
    </row>
    <row r="202" spans="1:9">
      <c r="A202" s="2" t="s">
        <v>203</v>
      </c>
      <c r="B202" s="3">
        <v>26.81</v>
      </c>
      <c r="C202" s="4">
        <v>0.86</v>
      </c>
      <c r="G202" s="8">
        <f t="shared" si="12"/>
        <v>0</v>
      </c>
      <c r="H202" s="8">
        <f t="shared" si="13"/>
        <v>0</v>
      </c>
      <c r="I202" s="8">
        <f t="shared" si="14"/>
        <v>0</v>
      </c>
    </row>
    <row r="203" spans="1:9">
      <c r="A203" s="2" t="s">
        <v>204</v>
      </c>
      <c r="B203" s="3">
        <v>33.25</v>
      </c>
      <c r="C203" s="4">
        <v>0.86</v>
      </c>
      <c r="G203" s="8">
        <f t="shared" si="12"/>
        <v>0</v>
      </c>
      <c r="H203" s="8">
        <f t="shared" si="13"/>
        <v>0</v>
      </c>
      <c r="I203" s="8">
        <f t="shared" si="14"/>
        <v>0</v>
      </c>
    </row>
    <row r="204" spans="1:9">
      <c r="A204" s="2" t="s">
        <v>205</v>
      </c>
      <c r="B204" s="3">
        <v>39.590000000000003</v>
      </c>
      <c r="C204" s="4">
        <v>0.86</v>
      </c>
      <c r="D204" s="7">
        <v>2.35</v>
      </c>
      <c r="E204" s="7">
        <v>2.5499999999999998</v>
      </c>
      <c r="F204" s="7">
        <v>2.75</v>
      </c>
      <c r="G204" s="8">
        <f t="shared" si="12"/>
        <v>3.3000000000000003</v>
      </c>
      <c r="H204" s="8">
        <f t="shared" si="13"/>
        <v>3.8000000000000003</v>
      </c>
      <c r="I204" s="8">
        <f t="shared" si="14"/>
        <v>5.1000000000000005</v>
      </c>
    </row>
    <row r="205" spans="1:9">
      <c r="A205" s="2" t="s">
        <v>206</v>
      </c>
      <c r="B205" s="3">
        <v>51.53</v>
      </c>
      <c r="C205" s="4">
        <v>0.86</v>
      </c>
      <c r="D205" s="7">
        <v>2.75</v>
      </c>
      <c r="E205" s="7">
        <v>3</v>
      </c>
      <c r="F205" s="7">
        <v>3.25</v>
      </c>
      <c r="G205" s="8">
        <f t="shared" si="12"/>
        <v>3.9000000000000004</v>
      </c>
      <c r="H205" s="8">
        <f t="shared" si="13"/>
        <v>4.5</v>
      </c>
      <c r="I205" s="8">
        <f t="shared" si="14"/>
        <v>6</v>
      </c>
    </row>
    <row r="206" spans="1:9">
      <c r="A206" s="2" t="s">
        <v>207</v>
      </c>
      <c r="B206" s="3">
        <v>65.900000000000006</v>
      </c>
      <c r="C206" s="4">
        <v>0.86</v>
      </c>
      <c r="D206" s="7">
        <v>3</v>
      </c>
      <c r="E206" s="7">
        <v>3.25</v>
      </c>
      <c r="F206" s="7">
        <v>3.5</v>
      </c>
      <c r="G206" s="8">
        <f t="shared" si="12"/>
        <v>4.25</v>
      </c>
      <c r="H206" s="8">
        <f t="shared" si="13"/>
        <v>4.9000000000000004</v>
      </c>
      <c r="I206" s="8">
        <f t="shared" si="14"/>
        <v>6.5</v>
      </c>
    </row>
    <row r="207" spans="1:9">
      <c r="A207" s="2" t="s">
        <v>208</v>
      </c>
      <c r="B207" s="3">
        <v>81.400000000000006</v>
      </c>
      <c r="C207" s="4">
        <v>0.86</v>
      </c>
      <c r="D207" s="7">
        <v>3.2</v>
      </c>
      <c r="E207" s="7">
        <v>3.45</v>
      </c>
      <c r="F207" s="7">
        <v>3.7</v>
      </c>
      <c r="G207" s="8">
        <f t="shared" si="12"/>
        <v>4.5</v>
      </c>
      <c r="H207" s="8">
        <f t="shared" si="13"/>
        <v>5.2</v>
      </c>
      <c r="I207" s="8">
        <f t="shared" si="14"/>
        <v>6.9</v>
      </c>
    </row>
    <row r="208" spans="1:9">
      <c r="A208" s="2" t="s">
        <v>209</v>
      </c>
      <c r="B208" s="3">
        <v>102.5</v>
      </c>
      <c r="C208" s="4">
        <v>0.86</v>
      </c>
      <c r="D208" s="7">
        <v>4.2</v>
      </c>
      <c r="E208" s="7">
        <v>4.5999999999999996</v>
      </c>
      <c r="F208" s="7">
        <v>5</v>
      </c>
      <c r="G208" s="8">
        <f t="shared" si="12"/>
        <v>6</v>
      </c>
      <c r="H208" s="8">
        <f t="shared" si="13"/>
        <v>6.9</v>
      </c>
      <c r="I208" s="8">
        <f t="shared" si="14"/>
        <v>9.2000000000000011</v>
      </c>
    </row>
    <row r="209" spans="1:9">
      <c r="A209" s="2" t="s">
        <v>210</v>
      </c>
      <c r="B209" s="3">
        <v>45.97</v>
      </c>
      <c r="C209" s="4">
        <v>0.97</v>
      </c>
      <c r="D209" s="7">
        <v>2.75</v>
      </c>
      <c r="E209" s="7">
        <v>3</v>
      </c>
      <c r="F209" s="7">
        <v>3.25</v>
      </c>
      <c r="G209" s="8">
        <f t="shared" si="12"/>
        <v>3.9000000000000004</v>
      </c>
      <c r="H209" s="8">
        <f t="shared" si="13"/>
        <v>4.5</v>
      </c>
      <c r="I209" s="8">
        <f t="shared" si="14"/>
        <v>6</v>
      </c>
    </row>
    <row r="210" spans="1:9">
      <c r="A210" s="2" t="s">
        <v>211</v>
      </c>
      <c r="B210" s="3">
        <v>47.14</v>
      </c>
      <c r="C210" s="4">
        <v>0.97</v>
      </c>
      <c r="G210" s="8">
        <f t="shared" si="12"/>
        <v>0</v>
      </c>
      <c r="H210" s="8">
        <f t="shared" si="13"/>
        <v>0</v>
      </c>
      <c r="I210" s="8">
        <f t="shared" si="14"/>
        <v>0</v>
      </c>
    </row>
    <row r="211" spans="1:9">
      <c r="A211" s="2" t="s">
        <v>212</v>
      </c>
      <c r="B211" s="3">
        <v>59.07</v>
      </c>
      <c r="C211" s="4">
        <v>0.97</v>
      </c>
      <c r="D211" s="7">
        <v>2.75</v>
      </c>
      <c r="E211" s="7">
        <v>3</v>
      </c>
      <c r="F211" s="7">
        <v>3.25</v>
      </c>
      <c r="G211" s="8">
        <f t="shared" si="12"/>
        <v>3.9000000000000004</v>
      </c>
      <c r="H211" s="8">
        <f t="shared" si="13"/>
        <v>4.5</v>
      </c>
      <c r="I211" s="8">
        <f t="shared" si="14"/>
        <v>6</v>
      </c>
    </row>
    <row r="212" spans="1:9">
      <c r="A212" s="2" t="s">
        <v>213</v>
      </c>
      <c r="B212" s="3">
        <v>71.989999999999995</v>
      </c>
      <c r="C212" s="4">
        <v>0.97</v>
      </c>
      <c r="D212" s="7">
        <v>2.8</v>
      </c>
      <c r="E212" s="7">
        <v>3.05</v>
      </c>
      <c r="F212" s="7">
        <v>3.3</v>
      </c>
      <c r="G212" s="8">
        <f t="shared" si="12"/>
        <v>3.95</v>
      </c>
      <c r="H212" s="8">
        <f t="shared" si="13"/>
        <v>4.55</v>
      </c>
      <c r="I212" s="8">
        <f t="shared" si="14"/>
        <v>6.1000000000000005</v>
      </c>
    </row>
    <row r="213" spans="1:9">
      <c r="A213" s="2" t="s">
        <v>214</v>
      </c>
      <c r="B213" s="3">
        <v>89.69</v>
      </c>
      <c r="C213" s="4">
        <v>0.97</v>
      </c>
      <c r="D213" s="7">
        <v>3.5</v>
      </c>
      <c r="E213" s="7">
        <v>3.75</v>
      </c>
      <c r="F213" s="7">
        <v>4</v>
      </c>
      <c r="G213" s="8">
        <f t="shared" si="12"/>
        <v>4.9000000000000004</v>
      </c>
      <c r="H213" s="8">
        <f t="shared" si="13"/>
        <v>5.65</v>
      </c>
      <c r="I213" s="8">
        <f t="shared" si="14"/>
        <v>7.5</v>
      </c>
    </row>
    <row r="214" spans="1:9">
      <c r="A214" s="2" t="s">
        <v>215</v>
      </c>
      <c r="B214" s="3">
        <v>87.95</v>
      </c>
      <c r="C214" s="4">
        <v>0.97</v>
      </c>
      <c r="D214" s="7">
        <v>3.5</v>
      </c>
      <c r="E214" s="7">
        <v>3.75</v>
      </c>
      <c r="F214" s="7">
        <v>4</v>
      </c>
      <c r="G214" s="8">
        <f t="shared" si="12"/>
        <v>4.9000000000000004</v>
      </c>
      <c r="H214" s="8">
        <f t="shared" si="13"/>
        <v>5.65</v>
      </c>
      <c r="I214" s="8">
        <f t="shared" si="14"/>
        <v>7.5</v>
      </c>
    </row>
    <row r="215" spans="1:9">
      <c r="A215" s="2" t="s">
        <v>216</v>
      </c>
      <c r="B215" s="3">
        <v>117.56</v>
      </c>
      <c r="C215" s="4">
        <v>0.97</v>
      </c>
      <c r="D215" s="7">
        <v>4.7</v>
      </c>
      <c r="E215" s="7">
        <v>5</v>
      </c>
      <c r="F215" s="7">
        <v>5.3</v>
      </c>
      <c r="G215" s="8">
        <f t="shared" si="12"/>
        <v>6.5</v>
      </c>
      <c r="H215" s="8">
        <f t="shared" si="13"/>
        <v>7.5</v>
      </c>
      <c r="I215" s="8">
        <f t="shared" si="14"/>
        <v>10</v>
      </c>
    </row>
    <row r="216" spans="1:9">
      <c r="A216" s="2" t="s">
        <v>217</v>
      </c>
      <c r="B216" s="3">
        <v>31.83</v>
      </c>
      <c r="C216" s="4">
        <v>1</v>
      </c>
      <c r="G216" s="8">
        <f t="shared" si="12"/>
        <v>0</v>
      </c>
      <c r="H216" s="8">
        <f t="shared" si="13"/>
        <v>0</v>
      </c>
      <c r="I216" s="8">
        <f t="shared" si="14"/>
        <v>0</v>
      </c>
    </row>
    <row r="217" spans="1:9">
      <c r="A217" s="2" t="s">
        <v>218</v>
      </c>
      <c r="B217" s="3">
        <v>39.53</v>
      </c>
      <c r="C217" s="4">
        <v>1</v>
      </c>
      <c r="G217" s="8">
        <f t="shared" si="12"/>
        <v>0</v>
      </c>
      <c r="H217" s="8">
        <f t="shared" si="13"/>
        <v>0</v>
      </c>
      <c r="I217" s="8">
        <f t="shared" si="14"/>
        <v>0</v>
      </c>
    </row>
    <row r="218" spans="1:9">
      <c r="A218" s="2" t="s">
        <v>219</v>
      </c>
      <c r="B218" s="3">
        <v>47.13</v>
      </c>
      <c r="C218" s="4">
        <v>1</v>
      </c>
      <c r="G218" s="8">
        <f t="shared" si="12"/>
        <v>0</v>
      </c>
      <c r="H218" s="8">
        <f t="shared" si="13"/>
        <v>0</v>
      </c>
      <c r="I218" s="8">
        <f t="shared" si="14"/>
        <v>0</v>
      </c>
    </row>
    <row r="219" spans="1:9">
      <c r="A219" s="2" t="s">
        <v>220</v>
      </c>
      <c r="B219" s="3">
        <v>61.58</v>
      </c>
      <c r="C219" s="4">
        <v>1</v>
      </c>
      <c r="G219" s="8">
        <f t="shared" si="12"/>
        <v>0</v>
      </c>
      <c r="H219" s="8">
        <f t="shared" si="13"/>
        <v>0</v>
      </c>
      <c r="I219" s="8">
        <f t="shared" si="14"/>
        <v>0</v>
      </c>
    </row>
    <row r="220" spans="1:9">
      <c r="A220" s="2" t="s">
        <v>221</v>
      </c>
      <c r="B220" s="3">
        <v>54.66</v>
      </c>
      <c r="C220" s="4">
        <v>1.18</v>
      </c>
      <c r="D220" s="7">
        <v>2.5</v>
      </c>
      <c r="E220" s="7">
        <v>3.6</v>
      </c>
      <c r="F220" s="7">
        <v>4.7</v>
      </c>
      <c r="G220" s="8">
        <f t="shared" si="12"/>
        <v>4.7</v>
      </c>
      <c r="H220" s="8">
        <f t="shared" si="13"/>
        <v>5.4</v>
      </c>
      <c r="I220" s="8">
        <f t="shared" si="14"/>
        <v>7.2</v>
      </c>
    </row>
    <row r="221" spans="1:9">
      <c r="A221" s="2" t="s">
        <v>222</v>
      </c>
      <c r="B221" s="3">
        <v>73.599999999999994</v>
      </c>
      <c r="C221" s="4">
        <v>1.18</v>
      </c>
      <c r="D221" s="7">
        <v>3</v>
      </c>
      <c r="E221" s="7">
        <v>4.0999999999999996</v>
      </c>
      <c r="F221" s="7">
        <v>5.2</v>
      </c>
      <c r="G221" s="8">
        <f t="shared" si="12"/>
        <v>5.3500000000000005</v>
      </c>
      <c r="H221" s="8">
        <f t="shared" si="13"/>
        <v>6.15</v>
      </c>
      <c r="I221" s="8">
        <f t="shared" si="14"/>
        <v>8.2000000000000011</v>
      </c>
    </row>
    <row r="222" spans="1:9">
      <c r="A222" s="2" t="s">
        <v>223</v>
      </c>
      <c r="B222" s="3">
        <v>91.1</v>
      </c>
      <c r="C222" s="4">
        <v>1.18</v>
      </c>
      <c r="D222" s="7">
        <v>3.3</v>
      </c>
      <c r="E222" s="7">
        <v>4.5999999999999996</v>
      </c>
      <c r="F222" s="7">
        <v>5.8</v>
      </c>
      <c r="G222" s="8">
        <f t="shared" si="12"/>
        <v>6</v>
      </c>
      <c r="H222" s="8">
        <f t="shared" si="13"/>
        <v>6.9</v>
      </c>
      <c r="I222" s="8">
        <f t="shared" si="14"/>
        <v>9.2000000000000011</v>
      </c>
    </row>
    <row r="223" spans="1:9">
      <c r="A223" s="2" t="s">
        <v>224</v>
      </c>
      <c r="B223" s="3">
        <v>112.8</v>
      </c>
      <c r="C223" s="4">
        <v>1.18</v>
      </c>
      <c r="D223" s="7">
        <v>4.5</v>
      </c>
      <c r="E223" s="7">
        <v>5.7</v>
      </c>
      <c r="F223" s="7">
        <v>6.9</v>
      </c>
      <c r="G223" s="8">
        <f t="shared" si="12"/>
        <v>7.4</v>
      </c>
      <c r="H223" s="8">
        <f t="shared" si="13"/>
        <v>8.5500000000000007</v>
      </c>
      <c r="I223" s="8">
        <f t="shared" si="14"/>
        <v>11.4</v>
      </c>
    </row>
    <row r="224" spans="1:9">
      <c r="A224" s="2" t="s">
        <v>225</v>
      </c>
      <c r="B224" s="3">
        <v>142.69999999999999</v>
      </c>
      <c r="C224" s="4">
        <v>1.18</v>
      </c>
      <c r="D224" s="7">
        <v>6.7</v>
      </c>
      <c r="E224" s="7">
        <v>8</v>
      </c>
      <c r="F224" s="7">
        <v>9.25</v>
      </c>
      <c r="G224" s="8">
        <f t="shared" si="12"/>
        <v>10.4</v>
      </c>
      <c r="H224" s="8">
        <f t="shared" si="13"/>
        <v>12</v>
      </c>
      <c r="I224" s="8">
        <f t="shared" si="14"/>
        <v>16</v>
      </c>
    </row>
    <row r="225" spans="1:9">
      <c r="A225" s="2" t="s">
        <v>226</v>
      </c>
      <c r="B225" s="3">
        <v>85.9</v>
      </c>
      <c r="C225" s="4">
        <v>1.38</v>
      </c>
      <c r="D225" s="7">
        <v>3.8</v>
      </c>
      <c r="E225" s="7">
        <v>5.0999999999999996</v>
      </c>
      <c r="F225" s="7">
        <v>6.4</v>
      </c>
      <c r="G225" s="8">
        <f t="shared" si="12"/>
        <v>6.65</v>
      </c>
      <c r="H225" s="8">
        <f t="shared" si="13"/>
        <v>7.65</v>
      </c>
      <c r="I225" s="8">
        <f t="shared" si="14"/>
        <v>10.200000000000001</v>
      </c>
    </row>
    <row r="226" spans="1:9">
      <c r="A226" s="2" t="s">
        <v>227</v>
      </c>
      <c r="B226" s="3">
        <v>106.8</v>
      </c>
      <c r="C226" s="4">
        <v>1.38</v>
      </c>
      <c r="D226" s="7">
        <v>3.8</v>
      </c>
      <c r="E226" s="7">
        <v>5.0999999999999996</v>
      </c>
      <c r="F226" s="7">
        <v>6.4</v>
      </c>
      <c r="G226" s="8">
        <f t="shared" si="12"/>
        <v>6.65</v>
      </c>
      <c r="H226" s="8">
        <f t="shared" si="13"/>
        <v>7.65</v>
      </c>
      <c r="I226" s="8">
        <f t="shared" si="14"/>
        <v>10.200000000000001</v>
      </c>
    </row>
    <row r="227" spans="1:9">
      <c r="A227" s="2" t="s">
        <v>228</v>
      </c>
      <c r="B227" s="3">
        <v>132.5</v>
      </c>
      <c r="C227" s="4">
        <v>1.38</v>
      </c>
      <c r="D227" s="7">
        <v>4.8</v>
      </c>
      <c r="E227" s="7">
        <v>6.1</v>
      </c>
      <c r="F227" s="7">
        <v>7.4</v>
      </c>
      <c r="G227" s="8">
        <f t="shared" si="12"/>
        <v>7.95</v>
      </c>
      <c r="H227" s="8">
        <f t="shared" si="13"/>
        <v>9.15</v>
      </c>
      <c r="I227" s="8">
        <f t="shared" si="14"/>
        <v>12.200000000000001</v>
      </c>
    </row>
    <row r="228" spans="1:9">
      <c r="A228" s="2" t="s">
        <v>229</v>
      </c>
      <c r="B228" s="3">
        <v>175.7</v>
      </c>
      <c r="C228" s="4">
        <v>1.38</v>
      </c>
      <c r="D228" s="7">
        <v>5.7</v>
      </c>
      <c r="E228" s="7">
        <v>6.85</v>
      </c>
      <c r="F228" s="7">
        <v>8</v>
      </c>
      <c r="G228" s="8">
        <f t="shared" si="12"/>
        <v>8.9</v>
      </c>
      <c r="H228" s="8">
        <f t="shared" si="13"/>
        <v>10.25</v>
      </c>
      <c r="I228" s="8">
        <f t="shared" si="14"/>
        <v>13.700000000000001</v>
      </c>
    </row>
    <row r="229" spans="1:9">
      <c r="A229" s="2" t="s">
        <v>230</v>
      </c>
      <c r="B229" s="3">
        <v>192.9</v>
      </c>
      <c r="C229" s="4">
        <v>1.38</v>
      </c>
      <c r="D229" s="7">
        <v>7.5</v>
      </c>
      <c r="E229" s="7">
        <v>8.8000000000000007</v>
      </c>
      <c r="F229" s="7">
        <v>9.6999999999999993</v>
      </c>
      <c r="G229" s="8">
        <f t="shared" si="12"/>
        <v>11.450000000000001</v>
      </c>
      <c r="H229" s="8">
        <f t="shared" si="13"/>
        <v>13.200000000000001</v>
      </c>
      <c r="I229" s="8">
        <f t="shared" si="14"/>
        <v>17.600000000000001</v>
      </c>
    </row>
    <row r="230" spans="1:9">
      <c r="A230" s="2" t="s">
        <v>231</v>
      </c>
      <c r="B230" s="3">
        <v>238.6</v>
      </c>
      <c r="C230" s="4">
        <v>1.58</v>
      </c>
      <c r="D230" s="7">
        <v>12.5</v>
      </c>
      <c r="E230" s="7">
        <v>13.8</v>
      </c>
      <c r="F230" s="7">
        <v>14.7</v>
      </c>
      <c r="G230" s="8">
        <f t="shared" si="12"/>
        <v>17.95</v>
      </c>
      <c r="H230" s="8">
        <f t="shared" si="13"/>
        <v>20.700000000000003</v>
      </c>
      <c r="I230" s="8">
        <f t="shared" si="14"/>
        <v>27.6</v>
      </c>
    </row>
    <row r="231" spans="1:9">
      <c r="A231" s="2" t="s">
        <v>232</v>
      </c>
      <c r="B231" s="3">
        <v>2.2470624999999997</v>
      </c>
      <c r="C231" s="4">
        <v>0.2</v>
      </c>
      <c r="G231" s="8">
        <f t="shared" si="12"/>
        <v>0</v>
      </c>
      <c r="H231" s="8">
        <f t="shared" si="13"/>
        <v>0</v>
      </c>
      <c r="I231" s="8">
        <f t="shared" si="14"/>
        <v>0</v>
      </c>
    </row>
    <row r="232" spans="1:9">
      <c r="A232" s="2" t="s">
        <v>233</v>
      </c>
      <c r="B232" s="3">
        <v>3.0124374999999999</v>
      </c>
      <c r="C232" s="4">
        <v>0.2</v>
      </c>
      <c r="G232" s="8">
        <f t="shared" si="12"/>
        <v>0</v>
      </c>
      <c r="H232" s="8">
        <f t="shared" si="13"/>
        <v>0</v>
      </c>
      <c r="I232" s="8">
        <f t="shared" si="14"/>
        <v>0</v>
      </c>
    </row>
    <row r="233" spans="1:9">
      <c r="A233" s="2" t="s">
        <v>234</v>
      </c>
      <c r="B233" s="3">
        <v>3.7287499999999998</v>
      </c>
      <c r="C233" s="4">
        <v>0.2</v>
      </c>
      <c r="G233" s="8">
        <f t="shared" si="12"/>
        <v>0</v>
      </c>
      <c r="H233" s="8">
        <f t="shared" si="13"/>
        <v>0</v>
      </c>
      <c r="I233" s="8">
        <f t="shared" si="14"/>
        <v>0</v>
      </c>
    </row>
    <row r="234" spans="1:9">
      <c r="A234" s="2" t="s">
        <v>235</v>
      </c>
      <c r="B234" s="3">
        <v>4.4254374999999992</v>
      </c>
      <c r="C234" s="4">
        <v>0.2</v>
      </c>
      <c r="G234" s="8">
        <f t="shared" si="12"/>
        <v>0</v>
      </c>
      <c r="H234" s="8">
        <f t="shared" si="13"/>
        <v>0</v>
      </c>
      <c r="I234" s="8">
        <f t="shared" si="14"/>
        <v>0</v>
      </c>
    </row>
    <row r="235" spans="1:9">
      <c r="A235" s="2" t="s">
        <v>236</v>
      </c>
      <c r="B235" s="3">
        <v>5.779562499999999</v>
      </c>
      <c r="C235" s="4">
        <v>0.2</v>
      </c>
      <c r="G235" s="8">
        <f t="shared" si="12"/>
        <v>0</v>
      </c>
      <c r="H235" s="8">
        <f t="shared" si="13"/>
        <v>0</v>
      </c>
      <c r="I235" s="8">
        <f t="shared" si="14"/>
        <v>0</v>
      </c>
    </row>
    <row r="236" spans="1:9">
      <c r="A236" s="2" t="s">
        <v>237</v>
      </c>
      <c r="B236" s="3">
        <v>6.2701874999999996</v>
      </c>
      <c r="C236" s="4">
        <v>0.2</v>
      </c>
      <c r="G236" s="8">
        <f t="shared" si="12"/>
        <v>0</v>
      </c>
      <c r="H236" s="8">
        <f t="shared" si="13"/>
        <v>0</v>
      </c>
      <c r="I236" s="8">
        <f t="shared" si="14"/>
        <v>0</v>
      </c>
    </row>
    <row r="237" spans="1:9">
      <c r="A237" s="2" t="s">
        <v>238</v>
      </c>
      <c r="B237" s="3">
        <v>3.3264374999999999</v>
      </c>
      <c r="C237" s="4">
        <v>0.22</v>
      </c>
      <c r="G237" s="8">
        <f t="shared" si="12"/>
        <v>0</v>
      </c>
      <c r="H237" s="8">
        <f t="shared" si="13"/>
        <v>0</v>
      </c>
      <c r="I237" s="8">
        <f t="shared" si="14"/>
        <v>0</v>
      </c>
    </row>
    <row r="238" spans="1:9">
      <c r="A238" s="2" t="s">
        <v>239</v>
      </c>
      <c r="B238" s="3">
        <v>4.8964375000000002</v>
      </c>
      <c r="C238" s="4">
        <v>0.22</v>
      </c>
      <c r="G238" s="8">
        <f t="shared" si="12"/>
        <v>0</v>
      </c>
      <c r="H238" s="8">
        <f t="shared" si="13"/>
        <v>0</v>
      </c>
      <c r="I238" s="8">
        <f t="shared" si="14"/>
        <v>0</v>
      </c>
    </row>
    <row r="239" spans="1:9">
      <c r="A239" s="2" t="s">
        <v>240</v>
      </c>
      <c r="B239" s="3">
        <v>3.6404375</v>
      </c>
      <c r="C239" s="4">
        <v>0.24</v>
      </c>
      <c r="G239" s="8">
        <f t="shared" si="12"/>
        <v>0</v>
      </c>
      <c r="H239" s="8">
        <f t="shared" si="13"/>
        <v>0</v>
      </c>
      <c r="I239" s="8">
        <f t="shared" si="14"/>
        <v>0</v>
      </c>
    </row>
    <row r="240" spans="1:9">
      <c r="A240" s="2" t="s">
        <v>241</v>
      </c>
      <c r="B240" s="3">
        <v>5.3674374999999994</v>
      </c>
      <c r="C240" s="4">
        <v>0.24</v>
      </c>
      <c r="G240" s="8">
        <f t="shared" si="12"/>
        <v>0</v>
      </c>
      <c r="H240" s="8">
        <f t="shared" si="13"/>
        <v>0</v>
      </c>
      <c r="I240" s="8">
        <f t="shared" si="14"/>
        <v>0</v>
      </c>
    </row>
    <row r="241" spans="1:9">
      <c r="A241" s="2" t="s">
        <v>242</v>
      </c>
      <c r="B241" s="3">
        <v>7.0355624999999993</v>
      </c>
      <c r="C241" s="4">
        <v>0.24</v>
      </c>
      <c r="G241" s="8">
        <f t="shared" si="12"/>
        <v>0</v>
      </c>
      <c r="H241" s="8">
        <f t="shared" si="13"/>
        <v>0</v>
      </c>
      <c r="I241" s="8">
        <f t="shared" si="14"/>
        <v>0</v>
      </c>
    </row>
    <row r="242" spans="1:9">
      <c r="A242" s="2" t="s">
        <v>243</v>
      </c>
      <c r="B242" s="3">
        <v>8.6349999999999998</v>
      </c>
      <c r="C242" s="4">
        <v>0.24</v>
      </c>
      <c r="G242" s="8">
        <f t="shared" si="12"/>
        <v>0</v>
      </c>
      <c r="H242" s="8">
        <f t="shared" si="13"/>
        <v>0</v>
      </c>
      <c r="I242" s="8">
        <f t="shared" si="14"/>
        <v>0</v>
      </c>
    </row>
    <row r="243" spans="1:9">
      <c r="A243" s="2" t="s">
        <v>244</v>
      </c>
      <c r="B243" s="3">
        <v>5.8384375000000004</v>
      </c>
      <c r="C243" s="4">
        <v>0.26</v>
      </c>
      <c r="G243" s="8">
        <f t="shared" si="12"/>
        <v>0</v>
      </c>
      <c r="H243" s="8">
        <f t="shared" si="13"/>
        <v>0</v>
      </c>
      <c r="I243" s="8">
        <f t="shared" si="14"/>
        <v>0</v>
      </c>
    </row>
    <row r="244" spans="1:9">
      <c r="A244" s="2" t="s">
        <v>245</v>
      </c>
      <c r="B244" s="3">
        <v>7.6635624999999994</v>
      </c>
      <c r="C244" s="4">
        <v>0.26</v>
      </c>
      <c r="G244" s="8">
        <f t="shared" si="12"/>
        <v>0</v>
      </c>
      <c r="H244" s="8">
        <f t="shared" si="13"/>
        <v>0</v>
      </c>
      <c r="I244" s="8">
        <f t="shared" si="14"/>
        <v>0</v>
      </c>
    </row>
    <row r="245" spans="1:9">
      <c r="A245" s="2" t="s">
        <v>246</v>
      </c>
      <c r="B245" s="3">
        <v>9.42</v>
      </c>
      <c r="C245" s="4">
        <v>0.26</v>
      </c>
      <c r="G245" s="8">
        <f t="shared" si="12"/>
        <v>0</v>
      </c>
      <c r="H245" s="8">
        <f t="shared" si="13"/>
        <v>0</v>
      </c>
      <c r="I245" s="8">
        <f t="shared" si="14"/>
        <v>0</v>
      </c>
    </row>
    <row r="246" spans="1:9">
      <c r="A246" s="2" t="s">
        <v>247</v>
      </c>
      <c r="B246" s="3">
        <v>11.088125</v>
      </c>
      <c r="C246" s="4">
        <v>0.26</v>
      </c>
      <c r="G246" s="8">
        <f t="shared" si="12"/>
        <v>0</v>
      </c>
      <c r="H246" s="8">
        <f t="shared" si="13"/>
        <v>0</v>
      </c>
      <c r="I246" s="8">
        <f t="shared" si="14"/>
        <v>0</v>
      </c>
    </row>
    <row r="247" spans="1:9">
      <c r="A247" s="2" t="s">
        <v>248</v>
      </c>
      <c r="B247" s="3">
        <v>8.3000000000000007</v>
      </c>
      <c r="C247" s="4">
        <v>0.28000000000000003</v>
      </c>
      <c r="D247" s="7">
        <v>1.1499999999999999</v>
      </c>
      <c r="E247" s="7">
        <v>1.25</v>
      </c>
      <c r="F247" s="7">
        <v>1.35</v>
      </c>
      <c r="G247" s="8">
        <f t="shared" si="12"/>
        <v>1.6500000000000001</v>
      </c>
      <c r="H247" s="8">
        <f t="shared" si="13"/>
        <v>1.9000000000000001</v>
      </c>
      <c r="I247" s="8">
        <f t="shared" si="14"/>
        <v>2.5</v>
      </c>
    </row>
    <row r="248" spans="1:9">
      <c r="A248" s="2" t="s">
        <v>249</v>
      </c>
      <c r="B248" s="3">
        <v>10.199999999999999</v>
      </c>
      <c r="C248" s="4">
        <v>0.28000000000000003</v>
      </c>
      <c r="D248" s="7">
        <v>1.25</v>
      </c>
      <c r="E248" s="7">
        <v>1.35</v>
      </c>
      <c r="F248" s="7">
        <v>1.45</v>
      </c>
      <c r="G248" s="8">
        <f t="shared" si="12"/>
        <v>1.75</v>
      </c>
      <c r="H248" s="8">
        <f t="shared" si="13"/>
        <v>2.0500000000000003</v>
      </c>
      <c r="I248" s="8">
        <f t="shared" si="14"/>
        <v>2.7</v>
      </c>
    </row>
    <row r="249" spans="1:9">
      <c r="A249" s="2" t="s">
        <v>250</v>
      </c>
      <c r="B249" s="3">
        <v>12.1</v>
      </c>
      <c r="C249" s="4">
        <v>0.28000000000000003</v>
      </c>
      <c r="D249" s="7">
        <v>1.25</v>
      </c>
      <c r="E249" s="7">
        <v>1.35</v>
      </c>
      <c r="F249" s="7">
        <v>1.45</v>
      </c>
      <c r="G249" s="8">
        <f t="shared" si="12"/>
        <v>1.75</v>
      </c>
      <c r="H249" s="8">
        <f t="shared" si="13"/>
        <v>2.0500000000000003</v>
      </c>
      <c r="I249" s="8">
        <f t="shared" si="14"/>
        <v>2.7</v>
      </c>
    </row>
    <row r="250" spans="1:9">
      <c r="A250" s="2" t="s">
        <v>251</v>
      </c>
      <c r="B250" s="3">
        <v>15.6</v>
      </c>
      <c r="C250" s="4">
        <v>0.28000000000000003</v>
      </c>
      <c r="D250" s="7">
        <v>1.3</v>
      </c>
      <c r="E250" s="7">
        <v>1.4</v>
      </c>
      <c r="F250" s="7">
        <v>1.5</v>
      </c>
      <c r="G250" s="8">
        <f t="shared" si="12"/>
        <v>1.8</v>
      </c>
      <c r="H250" s="8">
        <f t="shared" si="13"/>
        <v>2.1</v>
      </c>
      <c r="I250" s="8">
        <f t="shared" si="14"/>
        <v>2.8000000000000003</v>
      </c>
    </row>
    <row r="251" spans="1:9">
      <c r="A251" s="2" t="s">
        <v>252</v>
      </c>
      <c r="B251" s="3">
        <v>18.8</v>
      </c>
      <c r="C251" s="4">
        <v>0.28000000000000003</v>
      </c>
      <c r="D251" s="7">
        <v>1.35</v>
      </c>
      <c r="E251" s="7">
        <v>1.45</v>
      </c>
      <c r="F251" s="7">
        <v>1.55</v>
      </c>
      <c r="G251" s="8">
        <f t="shared" si="12"/>
        <v>1.9000000000000001</v>
      </c>
      <c r="H251" s="8">
        <f t="shared" si="13"/>
        <v>2.15</v>
      </c>
      <c r="I251" s="8">
        <f t="shared" si="14"/>
        <v>2.9000000000000004</v>
      </c>
    </row>
    <row r="252" spans="1:9">
      <c r="A252" s="2" t="s">
        <v>253</v>
      </c>
      <c r="B252" s="3">
        <v>6.7804374999999997</v>
      </c>
      <c r="C252" s="4">
        <v>0.3</v>
      </c>
      <c r="G252" s="8">
        <f t="shared" si="12"/>
        <v>0</v>
      </c>
      <c r="H252" s="8">
        <f t="shared" si="13"/>
        <v>0</v>
      </c>
      <c r="I252" s="8">
        <f t="shared" si="14"/>
        <v>0</v>
      </c>
    </row>
    <row r="253" spans="1:9">
      <c r="A253" s="2" t="s">
        <v>254</v>
      </c>
      <c r="B253" s="3">
        <v>8.8999375000000001</v>
      </c>
      <c r="C253" s="4">
        <v>0.3</v>
      </c>
      <c r="D253" s="7">
        <v>1.2</v>
      </c>
      <c r="E253" s="7">
        <v>1.3</v>
      </c>
      <c r="F253" s="7">
        <v>1.4</v>
      </c>
      <c r="G253" s="8">
        <f t="shared" si="12"/>
        <v>1.7000000000000002</v>
      </c>
      <c r="H253" s="8">
        <f t="shared" si="13"/>
        <v>1.9500000000000002</v>
      </c>
      <c r="I253" s="8">
        <f t="shared" si="14"/>
        <v>2.6</v>
      </c>
    </row>
    <row r="254" spans="1:9">
      <c r="A254" s="2" t="s">
        <v>255</v>
      </c>
      <c r="B254" s="3">
        <v>10.99</v>
      </c>
      <c r="C254" s="4">
        <v>0.3</v>
      </c>
      <c r="D254" s="7">
        <v>1.3</v>
      </c>
      <c r="E254" s="7">
        <v>1.4</v>
      </c>
      <c r="F254" s="7">
        <v>1.5</v>
      </c>
      <c r="G254" s="8">
        <f t="shared" si="12"/>
        <v>1.8</v>
      </c>
      <c r="H254" s="8">
        <f t="shared" si="13"/>
        <v>2.1</v>
      </c>
      <c r="I254" s="8">
        <f t="shared" si="14"/>
        <v>2.8000000000000003</v>
      </c>
    </row>
    <row r="255" spans="1:9">
      <c r="A255" s="2" t="s">
        <v>256</v>
      </c>
      <c r="B255" s="3">
        <v>13.050625</v>
      </c>
      <c r="C255" s="4">
        <v>0.3</v>
      </c>
      <c r="D255" s="7">
        <v>1.3</v>
      </c>
      <c r="E255" s="7">
        <v>1.4</v>
      </c>
      <c r="F255" s="7">
        <v>1.5</v>
      </c>
      <c r="G255" s="8">
        <f t="shared" si="12"/>
        <v>1.8</v>
      </c>
      <c r="H255" s="8">
        <f t="shared" si="13"/>
        <v>2.1</v>
      </c>
      <c r="I255" s="8">
        <f t="shared" si="14"/>
        <v>2.8000000000000003</v>
      </c>
    </row>
    <row r="256" spans="1:9">
      <c r="A256" s="2" t="s">
        <v>257</v>
      </c>
      <c r="B256" s="3">
        <v>16.8</v>
      </c>
      <c r="C256" s="4">
        <v>0.3</v>
      </c>
      <c r="D256" s="7">
        <v>1.35</v>
      </c>
      <c r="E256" s="7">
        <v>1.45</v>
      </c>
      <c r="F256" s="7">
        <v>1.55</v>
      </c>
      <c r="G256" s="8">
        <f t="shared" si="12"/>
        <v>1.9000000000000001</v>
      </c>
      <c r="H256" s="8">
        <f t="shared" si="13"/>
        <v>2.15</v>
      </c>
      <c r="I256" s="8">
        <f t="shared" si="14"/>
        <v>2.9000000000000004</v>
      </c>
    </row>
    <row r="257" spans="1:9">
      <c r="A257" s="2" t="s">
        <v>258</v>
      </c>
      <c r="B257" s="3">
        <v>20.399999999999999</v>
      </c>
      <c r="C257" s="4">
        <v>0.3</v>
      </c>
      <c r="D257" s="7">
        <v>1.4</v>
      </c>
      <c r="E257" s="7">
        <v>1.5</v>
      </c>
      <c r="F257" s="7">
        <v>1.6</v>
      </c>
      <c r="G257" s="8">
        <f t="shared" si="12"/>
        <v>1.9500000000000002</v>
      </c>
      <c r="H257" s="8">
        <f t="shared" si="13"/>
        <v>2.25</v>
      </c>
      <c r="I257" s="8">
        <f t="shared" si="14"/>
        <v>3</v>
      </c>
    </row>
    <row r="258" spans="1:9">
      <c r="A258" s="2" t="s">
        <v>259</v>
      </c>
      <c r="B258" s="3">
        <v>7.2514374999999998</v>
      </c>
      <c r="C258" s="4">
        <v>0.32</v>
      </c>
      <c r="G258" s="8">
        <f t="shared" ref="G258:G321" si="15">MROUND($E258*1.3,0.05)</f>
        <v>0</v>
      </c>
      <c r="H258" s="8">
        <f t="shared" ref="H258:H321" si="16">MROUND($E258*1.5,0.05)</f>
        <v>0</v>
      </c>
      <c r="I258" s="8">
        <f t="shared" ref="I258:I321" si="17">MROUND($E258*2,0.05)</f>
        <v>0</v>
      </c>
    </row>
    <row r="259" spans="1:9">
      <c r="A259" s="2" t="s">
        <v>260</v>
      </c>
      <c r="B259" s="3">
        <v>9.5475624999999997</v>
      </c>
      <c r="C259" s="4">
        <v>0.32</v>
      </c>
      <c r="G259" s="8">
        <f t="shared" si="15"/>
        <v>0</v>
      </c>
      <c r="H259" s="8">
        <f t="shared" si="16"/>
        <v>0</v>
      </c>
      <c r="I259" s="8">
        <f t="shared" si="17"/>
        <v>0</v>
      </c>
    </row>
    <row r="260" spans="1:9">
      <c r="A260" s="2" t="s">
        <v>261</v>
      </c>
      <c r="B260" s="3">
        <v>7.7224374999999998</v>
      </c>
      <c r="C260" s="4">
        <v>0.34</v>
      </c>
      <c r="G260" s="8">
        <f t="shared" si="15"/>
        <v>0</v>
      </c>
      <c r="H260" s="8">
        <f t="shared" si="16"/>
        <v>0</v>
      </c>
      <c r="I260" s="8">
        <f t="shared" si="17"/>
        <v>0</v>
      </c>
    </row>
    <row r="261" spans="1:9">
      <c r="A261" s="2" t="s">
        <v>262</v>
      </c>
      <c r="B261" s="3">
        <v>14.914999999999999</v>
      </c>
      <c r="C261" s="4">
        <v>0.34</v>
      </c>
      <c r="G261" s="8">
        <f t="shared" si="15"/>
        <v>0</v>
      </c>
      <c r="H261" s="8">
        <f t="shared" si="16"/>
        <v>0</v>
      </c>
      <c r="I261" s="8">
        <f t="shared" si="17"/>
        <v>0</v>
      </c>
    </row>
    <row r="262" spans="1:9">
      <c r="A262" s="2" t="s">
        <v>263</v>
      </c>
      <c r="B262" s="3">
        <v>8.1934374999999999</v>
      </c>
      <c r="C262" s="4">
        <v>0.36</v>
      </c>
      <c r="G262" s="8">
        <f t="shared" si="15"/>
        <v>0</v>
      </c>
      <c r="H262" s="8">
        <f t="shared" si="16"/>
        <v>0</v>
      </c>
      <c r="I262" s="8">
        <f t="shared" si="17"/>
        <v>0</v>
      </c>
    </row>
    <row r="263" spans="1:9">
      <c r="A263" s="2" t="s">
        <v>264</v>
      </c>
      <c r="B263" s="3">
        <v>10.793749999999999</v>
      </c>
      <c r="C263" s="4">
        <v>0.36</v>
      </c>
      <c r="D263" s="7">
        <v>1.3</v>
      </c>
      <c r="E263" s="7">
        <v>1.4</v>
      </c>
      <c r="F263" s="7">
        <v>1.5</v>
      </c>
      <c r="G263" s="8">
        <f t="shared" si="15"/>
        <v>1.8</v>
      </c>
      <c r="H263" s="8">
        <f t="shared" si="16"/>
        <v>2.1</v>
      </c>
      <c r="I263" s="8">
        <f t="shared" si="17"/>
        <v>2.8000000000000003</v>
      </c>
    </row>
    <row r="264" spans="1:9">
      <c r="A264" s="2" t="s">
        <v>265</v>
      </c>
      <c r="B264" s="3">
        <v>13.345000000000001</v>
      </c>
      <c r="C264" s="4">
        <v>0.36</v>
      </c>
      <c r="D264" s="7">
        <v>1.3</v>
      </c>
      <c r="E264" s="7">
        <v>1.4</v>
      </c>
      <c r="F264" s="7">
        <v>1.5</v>
      </c>
      <c r="G264" s="8">
        <f t="shared" si="15"/>
        <v>1.8</v>
      </c>
      <c r="H264" s="8">
        <f t="shared" si="16"/>
        <v>2.1</v>
      </c>
      <c r="I264" s="8">
        <f t="shared" si="17"/>
        <v>2.8000000000000003</v>
      </c>
    </row>
    <row r="265" spans="1:9">
      <c r="A265" s="2" t="s">
        <v>266</v>
      </c>
      <c r="B265" s="3">
        <v>15.798125000000001</v>
      </c>
      <c r="C265" s="4">
        <v>0.36</v>
      </c>
      <c r="D265" s="7">
        <v>1.35</v>
      </c>
      <c r="E265" s="7">
        <v>1.45</v>
      </c>
      <c r="F265" s="7">
        <v>1.55</v>
      </c>
      <c r="G265" s="8">
        <f t="shared" si="15"/>
        <v>1.9000000000000001</v>
      </c>
      <c r="H265" s="8">
        <f t="shared" si="16"/>
        <v>2.15</v>
      </c>
      <c r="I265" s="8">
        <f t="shared" si="17"/>
        <v>2.9000000000000004</v>
      </c>
    </row>
    <row r="266" spans="1:9">
      <c r="A266" s="2" t="s">
        <v>267</v>
      </c>
      <c r="B266" s="3">
        <v>20.6</v>
      </c>
      <c r="C266" s="4">
        <v>0.36</v>
      </c>
      <c r="D266" s="7">
        <v>1.4</v>
      </c>
      <c r="E266" s="7">
        <v>1.5</v>
      </c>
      <c r="F266" s="7">
        <v>1.6</v>
      </c>
      <c r="G266" s="8">
        <f t="shared" si="15"/>
        <v>1.9500000000000002</v>
      </c>
      <c r="H266" s="8">
        <f t="shared" si="16"/>
        <v>2.25</v>
      </c>
      <c r="I266" s="8">
        <f t="shared" si="17"/>
        <v>3</v>
      </c>
    </row>
    <row r="267" spans="1:9">
      <c r="A267" s="2" t="s">
        <v>268</v>
      </c>
      <c r="B267" s="3">
        <v>25.1</v>
      </c>
      <c r="C267" s="4">
        <v>0.36</v>
      </c>
      <c r="D267" s="7">
        <v>1.45</v>
      </c>
      <c r="E267" s="7">
        <v>1.55</v>
      </c>
      <c r="F267" s="7">
        <v>1.65</v>
      </c>
      <c r="G267" s="8">
        <f t="shared" si="15"/>
        <v>2</v>
      </c>
      <c r="H267" s="8">
        <f t="shared" si="16"/>
        <v>2.35</v>
      </c>
      <c r="I267" s="8">
        <f t="shared" si="17"/>
        <v>3.1</v>
      </c>
    </row>
    <row r="268" spans="1:9">
      <c r="A268" s="2" t="s">
        <v>269</v>
      </c>
      <c r="B268" s="3">
        <v>9.0078749999999985</v>
      </c>
      <c r="C268" s="4">
        <v>0.4</v>
      </c>
      <c r="D268" s="7">
        <v>1.3</v>
      </c>
      <c r="E268" s="7">
        <v>1.4</v>
      </c>
      <c r="F268" s="7">
        <v>1.5</v>
      </c>
      <c r="G268" s="8">
        <f t="shared" si="15"/>
        <v>1.8</v>
      </c>
      <c r="H268" s="8">
        <f t="shared" si="16"/>
        <v>2.1</v>
      </c>
      <c r="I268" s="8">
        <f t="shared" si="17"/>
        <v>2.8000000000000003</v>
      </c>
    </row>
    <row r="269" spans="1:9">
      <c r="A269" s="2" t="s">
        <v>270</v>
      </c>
      <c r="B269" s="3">
        <v>11.775</v>
      </c>
      <c r="C269" s="4">
        <v>0.4</v>
      </c>
      <c r="D269" s="7">
        <v>1.3</v>
      </c>
      <c r="E269" s="7">
        <v>1.4</v>
      </c>
      <c r="F269" s="7">
        <v>1.5</v>
      </c>
      <c r="G269" s="8">
        <f t="shared" si="15"/>
        <v>1.8</v>
      </c>
      <c r="H269" s="8">
        <f t="shared" si="16"/>
        <v>2.1</v>
      </c>
      <c r="I269" s="8">
        <f t="shared" si="17"/>
        <v>2.8000000000000003</v>
      </c>
    </row>
    <row r="270" spans="1:9">
      <c r="A270" s="2" t="s">
        <v>271</v>
      </c>
      <c r="B270" s="3">
        <v>14.914999999999999</v>
      </c>
      <c r="C270" s="4">
        <v>0.4</v>
      </c>
      <c r="D270" s="7">
        <v>1.35</v>
      </c>
      <c r="E270" s="7">
        <v>1.45</v>
      </c>
      <c r="F270" s="7">
        <v>1.55</v>
      </c>
      <c r="G270" s="8">
        <f t="shared" si="15"/>
        <v>1.9000000000000001</v>
      </c>
      <c r="H270" s="8">
        <f t="shared" si="16"/>
        <v>2.15</v>
      </c>
      <c r="I270" s="8">
        <f t="shared" si="17"/>
        <v>2.9000000000000004</v>
      </c>
    </row>
    <row r="271" spans="1:9">
      <c r="A271" s="2" t="s">
        <v>272</v>
      </c>
      <c r="B271" s="3">
        <v>17.760625000000001</v>
      </c>
      <c r="C271" s="4">
        <v>0.4</v>
      </c>
      <c r="D271" s="7">
        <v>1.35</v>
      </c>
      <c r="E271" s="7">
        <v>1.45</v>
      </c>
      <c r="F271" s="7">
        <v>1.55</v>
      </c>
      <c r="G271" s="8">
        <f t="shared" si="15"/>
        <v>1.9000000000000001</v>
      </c>
      <c r="H271" s="8">
        <f t="shared" si="16"/>
        <v>2.15</v>
      </c>
      <c r="I271" s="8">
        <f t="shared" si="17"/>
        <v>2.9000000000000004</v>
      </c>
    </row>
    <row r="272" spans="1:9">
      <c r="A272" s="2" t="s">
        <v>273</v>
      </c>
      <c r="B272" s="3">
        <v>23.1</v>
      </c>
      <c r="C272" s="4">
        <v>0.4</v>
      </c>
      <c r="D272" s="7">
        <v>1.4</v>
      </c>
      <c r="E272" s="7">
        <v>1.5</v>
      </c>
      <c r="F272" s="7">
        <v>1.6</v>
      </c>
      <c r="G272" s="8">
        <f t="shared" si="15"/>
        <v>1.9500000000000002</v>
      </c>
      <c r="H272" s="8">
        <f t="shared" si="16"/>
        <v>2.25</v>
      </c>
      <c r="I272" s="8">
        <f t="shared" si="17"/>
        <v>3</v>
      </c>
    </row>
    <row r="273" spans="1:9">
      <c r="A273" s="2" t="s">
        <v>274</v>
      </c>
      <c r="B273" s="3">
        <v>28.3</v>
      </c>
      <c r="C273" s="4">
        <v>0.4</v>
      </c>
      <c r="D273" s="7">
        <v>1.45</v>
      </c>
      <c r="E273" s="7">
        <v>1.55</v>
      </c>
      <c r="F273" s="7">
        <v>1.65</v>
      </c>
      <c r="G273" s="8">
        <f t="shared" si="15"/>
        <v>2</v>
      </c>
      <c r="H273" s="8">
        <f t="shared" si="16"/>
        <v>2.35</v>
      </c>
      <c r="I273" s="8">
        <f t="shared" si="17"/>
        <v>3.1</v>
      </c>
    </row>
    <row r="274" spans="1:9">
      <c r="A274" s="2" t="s">
        <v>275</v>
      </c>
      <c r="B274" s="3">
        <v>34.299999999999997</v>
      </c>
      <c r="C274" s="4">
        <v>0.4</v>
      </c>
      <c r="D274" s="7">
        <v>1.6</v>
      </c>
      <c r="E274" s="7">
        <v>1.7</v>
      </c>
      <c r="F274" s="7">
        <v>1.8</v>
      </c>
      <c r="G274" s="8">
        <f t="shared" si="15"/>
        <v>2.2000000000000002</v>
      </c>
      <c r="H274" s="8">
        <f t="shared" si="16"/>
        <v>2.5500000000000003</v>
      </c>
      <c r="I274" s="8">
        <f t="shared" si="17"/>
        <v>3.4000000000000004</v>
      </c>
    </row>
    <row r="275" spans="1:9">
      <c r="A275" s="2" t="s">
        <v>276</v>
      </c>
      <c r="B275" s="3">
        <v>12.658125</v>
      </c>
      <c r="C275" s="4">
        <v>0.42</v>
      </c>
      <c r="D275" s="7">
        <v>1.3</v>
      </c>
      <c r="E275" s="7">
        <v>1.4</v>
      </c>
      <c r="F275" s="7">
        <v>1.5</v>
      </c>
      <c r="G275" s="8">
        <f t="shared" si="15"/>
        <v>1.8</v>
      </c>
      <c r="H275" s="8">
        <f t="shared" si="16"/>
        <v>2.1</v>
      </c>
      <c r="I275" s="8">
        <f t="shared" si="17"/>
        <v>2.8000000000000003</v>
      </c>
    </row>
    <row r="276" spans="1:9">
      <c r="A276" s="2" t="s">
        <v>277</v>
      </c>
      <c r="B276" s="3">
        <v>15.7</v>
      </c>
      <c r="C276" s="4">
        <v>0.42</v>
      </c>
      <c r="D276" s="7">
        <v>1.35</v>
      </c>
      <c r="E276" s="7">
        <v>1.45</v>
      </c>
      <c r="F276" s="7">
        <v>1.55</v>
      </c>
      <c r="G276" s="8">
        <f t="shared" si="15"/>
        <v>1.9000000000000001</v>
      </c>
      <c r="H276" s="8">
        <f t="shared" si="16"/>
        <v>2.15</v>
      </c>
      <c r="I276" s="8">
        <f t="shared" si="17"/>
        <v>2.9000000000000004</v>
      </c>
    </row>
    <row r="277" spans="1:9">
      <c r="A277" s="2" t="s">
        <v>278</v>
      </c>
      <c r="B277" s="3">
        <v>18.600000000000001</v>
      </c>
      <c r="C277" s="4">
        <v>0.42</v>
      </c>
      <c r="D277" s="7">
        <v>1.35</v>
      </c>
      <c r="E277" s="7">
        <v>1.45</v>
      </c>
      <c r="F277" s="7">
        <v>1.55</v>
      </c>
      <c r="G277" s="8">
        <f t="shared" si="15"/>
        <v>1.9000000000000001</v>
      </c>
      <c r="H277" s="8">
        <f t="shared" si="16"/>
        <v>2.15</v>
      </c>
      <c r="I277" s="8">
        <f t="shared" si="17"/>
        <v>2.9000000000000004</v>
      </c>
    </row>
    <row r="278" spans="1:9">
      <c r="A278" s="2" t="s">
        <v>279</v>
      </c>
      <c r="B278" s="3">
        <v>29.8</v>
      </c>
      <c r="C278" s="4">
        <v>0.42</v>
      </c>
      <c r="D278" s="7">
        <v>1.4</v>
      </c>
      <c r="E278" s="7">
        <v>1.5</v>
      </c>
      <c r="F278" s="7">
        <v>1.6</v>
      </c>
      <c r="G278" s="8">
        <f t="shared" si="15"/>
        <v>1.9500000000000002</v>
      </c>
      <c r="H278" s="8">
        <f t="shared" si="16"/>
        <v>2.25</v>
      </c>
      <c r="I278" s="8">
        <f t="shared" si="17"/>
        <v>3</v>
      </c>
    </row>
    <row r="279" spans="1:9">
      <c r="A279" s="2" t="s">
        <v>280</v>
      </c>
      <c r="B279" s="3">
        <v>15.2</v>
      </c>
      <c r="C279" s="4">
        <v>0.5</v>
      </c>
      <c r="D279" s="7">
        <v>1.35</v>
      </c>
      <c r="E279" s="7">
        <v>1.45</v>
      </c>
      <c r="F279" s="7">
        <v>1.55</v>
      </c>
      <c r="G279" s="8">
        <f t="shared" si="15"/>
        <v>1.9000000000000001</v>
      </c>
      <c r="H279" s="8">
        <f t="shared" si="16"/>
        <v>2.15</v>
      </c>
      <c r="I279" s="8">
        <f t="shared" si="17"/>
        <v>2.9000000000000004</v>
      </c>
    </row>
    <row r="280" spans="1:9">
      <c r="A280" s="2" t="s">
        <v>281</v>
      </c>
      <c r="B280" s="3">
        <v>18.8</v>
      </c>
      <c r="C280" s="4">
        <v>0.5</v>
      </c>
      <c r="D280" s="7">
        <v>1.35</v>
      </c>
      <c r="E280" s="7">
        <v>1.45</v>
      </c>
      <c r="F280" s="7">
        <v>1.55</v>
      </c>
      <c r="G280" s="8">
        <f t="shared" si="15"/>
        <v>1.9000000000000001</v>
      </c>
      <c r="H280" s="8">
        <f t="shared" si="16"/>
        <v>2.15</v>
      </c>
      <c r="I280" s="8">
        <f t="shared" si="17"/>
        <v>2.9000000000000004</v>
      </c>
    </row>
    <row r="281" spans="1:9">
      <c r="A281" s="2" t="s">
        <v>282</v>
      </c>
      <c r="B281" s="3">
        <v>22.4</v>
      </c>
      <c r="C281" s="4">
        <v>0.5</v>
      </c>
      <c r="D281" s="7">
        <v>1.4</v>
      </c>
      <c r="E281" s="7">
        <v>1.5</v>
      </c>
      <c r="F281" s="7">
        <v>1.6</v>
      </c>
      <c r="G281" s="8">
        <f t="shared" si="15"/>
        <v>1.9500000000000002</v>
      </c>
      <c r="H281" s="8">
        <f t="shared" si="16"/>
        <v>2.25</v>
      </c>
      <c r="I281" s="8">
        <f t="shared" si="17"/>
        <v>3</v>
      </c>
    </row>
    <row r="282" spans="1:9">
      <c r="A282" s="2" t="s">
        <v>283</v>
      </c>
      <c r="B282" s="3">
        <v>29.4</v>
      </c>
      <c r="C282" s="4">
        <v>0.5</v>
      </c>
      <c r="D282" s="7">
        <v>1.45</v>
      </c>
      <c r="E282" s="7">
        <v>1.55</v>
      </c>
      <c r="F282" s="7">
        <v>1.65</v>
      </c>
      <c r="G282" s="8">
        <f t="shared" si="15"/>
        <v>2</v>
      </c>
      <c r="H282" s="8">
        <f t="shared" si="16"/>
        <v>2.35</v>
      </c>
      <c r="I282" s="8">
        <f t="shared" si="17"/>
        <v>3.1</v>
      </c>
    </row>
    <row r="283" spans="1:9">
      <c r="A283" s="2" t="s">
        <v>284</v>
      </c>
      <c r="B283" s="3">
        <v>36.1</v>
      </c>
      <c r="C283" s="4">
        <v>0.5</v>
      </c>
      <c r="D283" s="7">
        <v>1.5</v>
      </c>
      <c r="E283" s="7">
        <v>1.6</v>
      </c>
      <c r="F283" s="7">
        <v>1.7</v>
      </c>
      <c r="G283" s="8">
        <f t="shared" si="15"/>
        <v>2.1</v>
      </c>
      <c r="H283" s="8">
        <f t="shared" si="16"/>
        <v>2.4000000000000004</v>
      </c>
      <c r="I283" s="8">
        <f t="shared" si="17"/>
        <v>3.2</v>
      </c>
    </row>
    <row r="284" spans="1:9">
      <c r="A284" s="2" t="s">
        <v>285</v>
      </c>
      <c r="B284" s="3">
        <v>44.2</v>
      </c>
      <c r="C284" s="4">
        <v>0.5</v>
      </c>
      <c r="D284" s="7">
        <v>1.65</v>
      </c>
      <c r="E284" s="7">
        <v>1.75</v>
      </c>
      <c r="F284" s="7">
        <v>1.85</v>
      </c>
      <c r="G284" s="8">
        <f t="shared" si="15"/>
        <v>2.25</v>
      </c>
      <c r="H284" s="8">
        <f t="shared" si="16"/>
        <v>2.6500000000000004</v>
      </c>
      <c r="I284" s="8">
        <f t="shared" si="17"/>
        <v>3.5</v>
      </c>
    </row>
    <row r="285" spans="1:9">
      <c r="A285" s="2" t="s">
        <v>286</v>
      </c>
      <c r="B285" s="3">
        <v>14.57</v>
      </c>
      <c r="C285" s="4">
        <v>0.48</v>
      </c>
      <c r="D285" s="7">
        <v>1.35</v>
      </c>
      <c r="E285" s="7">
        <v>1.45</v>
      </c>
      <c r="F285" s="7">
        <v>1.55</v>
      </c>
      <c r="G285" s="8">
        <f t="shared" si="15"/>
        <v>1.9000000000000001</v>
      </c>
      <c r="H285" s="8">
        <f t="shared" si="16"/>
        <v>2.15</v>
      </c>
      <c r="I285" s="8">
        <f t="shared" si="17"/>
        <v>2.9000000000000004</v>
      </c>
    </row>
    <row r="286" spans="1:9">
      <c r="A286" s="2" t="s">
        <v>287</v>
      </c>
      <c r="B286" s="3">
        <v>17.760000000000002</v>
      </c>
      <c r="C286" s="4">
        <v>0.48</v>
      </c>
      <c r="G286" s="8">
        <f t="shared" si="15"/>
        <v>0</v>
      </c>
      <c r="H286" s="8">
        <f t="shared" si="16"/>
        <v>0</v>
      </c>
      <c r="I286" s="8">
        <f t="shared" si="17"/>
        <v>0</v>
      </c>
    </row>
    <row r="287" spans="1:9">
      <c r="A287" s="2" t="s">
        <v>288</v>
      </c>
      <c r="B287" s="3">
        <v>24.433125</v>
      </c>
      <c r="C287" s="4">
        <v>0.48</v>
      </c>
      <c r="G287" s="8">
        <f t="shared" si="15"/>
        <v>0</v>
      </c>
      <c r="H287" s="8">
        <f t="shared" si="16"/>
        <v>0</v>
      </c>
      <c r="I287" s="8">
        <f t="shared" si="17"/>
        <v>0</v>
      </c>
    </row>
    <row r="288" spans="1:9">
      <c r="A288" s="2" t="s">
        <v>289</v>
      </c>
      <c r="B288" s="3">
        <v>22.8</v>
      </c>
      <c r="C288" s="4">
        <v>0.6</v>
      </c>
      <c r="D288" s="7">
        <v>1.7</v>
      </c>
      <c r="E288" s="7">
        <v>1.85</v>
      </c>
      <c r="F288" s="7">
        <v>2</v>
      </c>
      <c r="G288" s="8">
        <f t="shared" si="15"/>
        <v>2.4000000000000004</v>
      </c>
      <c r="H288" s="8">
        <f t="shared" si="16"/>
        <v>2.8000000000000003</v>
      </c>
      <c r="I288" s="8">
        <f t="shared" si="17"/>
        <v>3.7</v>
      </c>
    </row>
    <row r="289" spans="1:9">
      <c r="A289" s="2" t="s">
        <v>290</v>
      </c>
      <c r="B289" s="3">
        <v>27.1</v>
      </c>
      <c r="C289" s="4">
        <v>0.6</v>
      </c>
      <c r="D289" s="7">
        <v>1.7</v>
      </c>
      <c r="E289" s="7">
        <v>1.85</v>
      </c>
      <c r="F289" s="7">
        <v>2</v>
      </c>
      <c r="G289" s="8">
        <f t="shared" si="15"/>
        <v>2.4000000000000004</v>
      </c>
      <c r="H289" s="8">
        <f t="shared" si="16"/>
        <v>2.8000000000000003</v>
      </c>
      <c r="I289" s="8">
        <f t="shared" si="17"/>
        <v>3.7</v>
      </c>
    </row>
    <row r="290" spans="1:9">
      <c r="A290" s="2" t="s">
        <v>291</v>
      </c>
      <c r="B290" s="3">
        <v>35.700000000000003</v>
      </c>
      <c r="C290" s="4">
        <v>0.6</v>
      </c>
      <c r="D290" s="7">
        <v>1.7</v>
      </c>
      <c r="E290" s="7">
        <v>1.85</v>
      </c>
      <c r="F290" s="7">
        <v>2</v>
      </c>
      <c r="G290" s="8">
        <f t="shared" si="15"/>
        <v>2.4000000000000004</v>
      </c>
      <c r="H290" s="8">
        <f t="shared" si="16"/>
        <v>2.8000000000000003</v>
      </c>
      <c r="I290" s="8">
        <f t="shared" si="17"/>
        <v>3.7</v>
      </c>
    </row>
    <row r="291" spans="1:9">
      <c r="A291" s="2" t="s">
        <v>292</v>
      </c>
      <c r="B291" s="3">
        <v>44</v>
      </c>
      <c r="C291" s="4">
        <v>0.6</v>
      </c>
      <c r="D291" s="7">
        <v>1.85</v>
      </c>
      <c r="E291" s="7">
        <v>2</v>
      </c>
      <c r="F291" s="7">
        <v>2.15</v>
      </c>
      <c r="G291" s="8">
        <f t="shared" si="15"/>
        <v>2.6</v>
      </c>
      <c r="H291" s="8">
        <f t="shared" si="16"/>
        <v>3</v>
      </c>
      <c r="I291" s="8">
        <f t="shared" si="17"/>
        <v>4</v>
      </c>
    </row>
    <row r="292" spans="1:9">
      <c r="A292" s="2" t="s">
        <v>293</v>
      </c>
      <c r="B292" s="3">
        <v>54</v>
      </c>
      <c r="C292" s="4">
        <v>0.6</v>
      </c>
      <c r="D292" s="7">
        <v>2.7</v>
      </c>
      <c r="E292" s="7">
        <v>2.85</v>
      </c>
      <c r="F292" s="7">
        <v>3</v>
      </c>
      <c r="G292" s="8">
        <f t="shared" si="15"/>
        <v>3.7</v>
      </c>
      <c r="H292" s="8">
        <f t="shared" si="16"/>
        <v>4.3</v>
      </c>
      <c r="I292" s="8">
        <f t="shared" si="17"/>
        <v>5.7</v>
      </c>
    </row>
    <row r="293" spans="1:9">
      <c r="A293" s="2" t="s">
        <v>294</v>
      </c>
      <c r="B293" s="3">
        <v>67.3</v>
      </c>
      <c r="C293" s="4">
        <v>0.6</v>
      </c>
      <c r="D293" s="7">
        <v>3.3</v>
      </c>
      <c r="E293" s="7">
        <v>3.35</v>
      </c>
      <c r="F293" s="7">
        <v>3.5</v>
      </c>
      <c r="G293" s="8">
        <f t="shared" si="15"/>
        <v>4.3500000000000005</v>
      </c>
      <c r="H293" s="8">
        <f t="shared" si="16"/>
        <v>5.0500000000000007</v>
      </c>
      <c r="I293" s="8">
        <f t="shared" si="17"/>
        <v>6.7</v>
      </c>
    </row>
    <row r="294" spans="1:9">
      <c r="A294" s="2" t="s">
        <v>295</v>
      </c>
      <c r="B294" s="3">
        <v>36.549999999999997</v>
      </c>
      <c r="C294" s="4">
        <v>0.8</v>
      </c>
      <c r="D294" s="7">
        <v>2.25</v>
      </c>
      <c r="E294" s="7">
        <v>2.4500000000000002</v>
      </c>
      <c r="F294" s="7">
        <v>2.65</v>
      </c>
      <c r="G294" s="8">
        <f t="shared" si="15"/>
        <v>3.2</v>
      </c>
      <c r="H294" s="8">
        <f t="shared" si="16"/>
        <v>3.7</v>
      </c>
      <c r="I294" s="8">
        <f t="shared" si="17"/>
        <v>4.9000000000000004</v>
      </c>
    </row>
    <row r="295" spans="1:9">
      <c r="A295" s="2" t="s">
        <v>296</v>
      </c>
      <c r="B295" s="3">
        <v>48.23</v>
      </c>
      <c r="C295" s="4">
        <v>0.8</v>
      </c>
      <c r="D295" s="7">
        <v>2.5499999999999998</v>
      </c>
      <c r="E295" s="7">
        <v>2.8</v>
      </c>
      <c r="F295" s="7">
        <v>3.05</v>
      </c>
      <c r="G295" s="8">
        <f t="shared" si="15"/>
        <v>3.6500000000000004</v>
      </c>
      <c r="H295" s="8">
        <f t="shared" si="16"/>
        <v>4.2</v>
      </c>
      <c r="I295" s="8">
        <f t="shared" si="17"/>
        <v>5.6000000000000005</v>
      </c>
    </row>
    <row r="296" spans="1:9">
      <c r="A296" s="2" t="s">
        <v>297</v>
      </c>
      <c r="B296" s="3">
        <v>75.36</v>
      </c>
      <c r="C296" s="4">
        <v>1</v>
      </c>
      <c r="D296" s="7">
        <v>2.8</v>
      </c>
      <c r="E296" s="7">
        <v>3.05</v>
      </c>
      <c r="F296" s="7">
        <v>3.3</v>
      </c>
      <c r="G296" s="8">
        <f t="shared" si="15"/>
        <v>3.95</v>
      </c>
      <c r="H296" s="8">
        <f t="shared" si="16"/>
        <v>4.55</v>
      </c>
      <c r="I296" s="8">
        <f t="shared" si="17"/>
        <v>6.1000000000000005</v>
      </c>
    </row>
    <row r="297" spans="1:9">
      <c r="A297" s="2" t="s">
        <v>298</v>
      </c>
      <c r="B297" s="3">
        <v>91.06</v>
      </c>
      <c r="C297" s="4">
        <v>1.2</v>
      </c>
      <c r="D297" s="7">
        <v>3.3</v>
      </c>
      <c r="E297" s="7">
        <v>4.5999999999999996</v>
      </c>
      <c r="F297" s="7">
        <v>5.8</v>
      </c>
      <c r="G297" s="8">
        <f t="shared" si="15"/>
        <v>6</v>
      </c>
      <c r="H297" s="8">
        <f t="shared" si="16"/>
        <v>6.9</v>
      </c>
      <c r="I297" s="8">
        <f t="shared" si="17"/>
        <v>9.2000000000000011</v>
      </c>
    </row>
    <row r="298" spans="1:9">
      <c r="A298" s="2" t="s">
        <v>299</v>
      </c>
      <c r="B298" s="3">
        <v>85.9</v>
      </c>
      <c r="C298" s="4">
        <v>1.4</v>
      </c>
      <c r="D298" s="7">
        <v>3.8</v>
      </c>
      <c r="E298" s="7">
        <v>5.0999999999999996</v>
      </c>
      <c r="F298" s="7">
        <v>6.3</v>
      </c>
      <c r="G298" s="8">
        <f t="shared" si="15"/>
        <v>6.65</v>
      </c>
      <c r="H298" s="8">
        <f t="shared" si="16"/>
        <v>7.65</v>
      </c>
      <c r="I298" s="8">
        <f t="shared" si="17"/>
        <v>10.200000000000001</v>
      </c>
    </row>
    <row r="299" spans="1:9">
      <c r="A299" s="2" t="s">
        <v>300</v>
      </c>
      <c r="B299" s="3">
        <v>106.8</v>
      </c>
      <c r="C299" s="4">
        <v>1.4</v>
      </c>
      <c r="D299" s="7">
        <v>4.05</v>
      </c>
      <c r="E299" s="7">
        <v>5.35</v>
      </c>
      <c r="F299" s="7">
        <v>6.55</v>
      </c>
      <c r="G299" s="8">
        <f t="shared" si="15"/>
        <v>6.95</v>
      </c>
      <c r="H299" s="8">
        <f t="shared" si="16"/>
        <v>8</v>
      </c>
      <c r="I299" s="8">
        <f t="shared" si="17"/>
        <v>10.700000000000001</v>
      </c>
    </row>
    <row r="300" spans="1:9">
      <c r="A300" s="2" t="s">
        <v>301</v>
      </c>
      <c r="B300" s="3">
        <v>132.5</v>
      </c>
      <c r="C300" s="4">
        <v>1.4</v>
      </c>
      <c r="D300" s="7">
        <v>4.8</v>
      </c>
      <c r="E300" s="7">
        <v>6.1</v>
      </c>
      <c r="F300" s="7">
        <v>6.3</v>
      </c>
      <c r="G300" s="8">
        <f t="shared" si="15"/>
        <v>7.95</v>
      </c>
      <c r="H300" s="8">
        <f t="shared" si="16"/>
        <v>9.15</v>
      </c>
      <c r="I300" s="8">
        <f t="shared" si="17"/>
        <v>12.200000000000001</v>
      </c>
    </row>
    <row r="301" spans="1:9">
      <c r="A301" s="2" t="s">
        <v>302</v>
      </c>
      <c r="B301" s="3">
        <v>167.8</v>
      </c>
      <c r="C301" s="4">
        <v>1.4</v>
      </c>
      <c r="D301" s="7">
        <v>5.8</v>
      </c>
      <c r="E301" s="7">
        <v>7.1</v>
      </c>
      <c r="F301" s="7">
        <v>7.3</v>
      </c>
      <c r="G301" s="8">
        <f t="shared" si="15"/>
        <v>9.25</v>
      </c>
      <c r="H301" s="8">
        <f t="shared" si="16"/>
        <v>10.65</v>
      </c>
      <c r="I301" s="8">
        <f t="shared" si="17"/>
        <v>14.200000000000001</v>
      </c>
    </row>
    <row r="302" spans="1:9">
      <c r="A302" s="2" t="s">
        <v>303</v>
      </c>
      <c r="B302" s="3">
        <v>0.95</v>
      </c>
      <c r="C302" s="4">
        <v>9.7000000000000003E-2</v>
      </c>
      <c r="G302" s="8">
        <f t="shared" si="15"/>
        <v>0</v>
      </c>
      <c r="H302" s="8">
        <f t="shared" si="16"/>
        <v>0</v>
      </c>
      <c r="I302" s="8">
        <f t="shared" si="17"/>
        <v>0</v>
      </c>
    </row>
    <row r="303" spans="1:9">
      <c r="A303" s="2" t="s">
        <v>304</v>
      </c>
      <c r="B303" s="3">
        <v>1.1200000000000001</v>
      </c>
      <c r="C303" s="4">
        <v>9.7000000000000003E-2</v>
      </c>
      <c r="G303" s="8">
        <f t="shared" si="15"/>
        <v>0</v>
      </c>
      <c r="H303" s="8">
        <f t="shared" si="16"/>
        <v>0</v>
      </c>
      <c r="I303" s="8">
        <f t="shared" si="17"/>
        <v>0</v>
      </c>
    </row>
    <row r="304" spans="1:9">
      <c r="A304" s="2" t="s">
        <v>305</v>
      </c>
      <c r="B304" s="3">
        <v>1.46</v>
      </c>
      <c r="C304" s="4">
        <v>9.7000000000000003E-2</v>
      </c>
      <c r="G304" s="8">
        <f t="shared" si="15"/>
        <v>0</v>
      </c>
      <c r="H304" s="8">
        <f t="shared" si="16"/>
        <v>0</v>
      </c>
      <c r="I304" s="8">
        <f t="shared" si="17"/>
        <v>0</v>
      </c>
    </row>
    <row r="305" spans="1:9">
      <c r="A305" s="2" t="s">
        <v>306</v>
      </c>
      <c r="B305" s="3">
        <v>1.78</v>
      </c>
      <c r="C305" s="4">
        <v>9.7000000000000003E-2</v>
      </c>
      <c r="G305" s="8">
        <f t="shared" si="15"/>
        <v>0</v>
      </c>
      <c r="H305" s="8">
        <f t="shared" si="16"/>
        <v>0</v>
      </c>
      <c r="I305" s="8">
        <f t="shared" si="17"/>
        <v>0</v>
      </c>
    </row>
    <row r="306" spans="1:9">
      <c r="A306" s="2" t="s">
        <v>307</v>
      </c>
      <c r="B306" s="3">
        <v>1.1499999999999999</v>
      </c>
      <c r="C306" s="4">
        <v>0.11600000000000001</v>
      </c>
      <c r="G306" s="8">
        <f t="shared" si="15"/>
        <v>0</v>
      </c>
      <c r="H306" s="8">
        <f t="shared" si="16"/>
        <v>0</v>
      </c>
      <c r="I306" s="8">
        <f t="shared" si="17"/>
        <v>0</v>
      </c>
    </row>
    <row r="307" spans="1:9">
      <c r="A307" s="2" t="s">
        <v>308</v>
      </c>
      <c r="B307" s="3">
        <v>1.36</v>
      </c>
      <c r="C307" s="4">
        <v>0.11600000000000001</v>
      </c>
      <c r="G307" s="8">
        <f t="shared" si="15"/>
        <v>0</v>
      </c>
      <c r="H307" s="8">
        <f t="shared" si="16"/>
        <v>0</v>
      </c>
      <c r="I307" s="8">
        <f t="shared" si="17"/>
        <v>0</v>
      </c>
    </row>
    <row r="308" spans="1:9">
      <c r="A308" s="2" t="s">
        <v>309</v>
      </c>
      <c r="B308" s="3">
        <v>1.78</v>
      </c>
      <c r="C308" s="4">
        <v>0.11600000000000001</v>
      </c>
      <c r="G308" s="8">
        <f t="shared" si="15"/>
        <v>0</v>
      </c>
      <c r="H308" s="8">
        <f t="shared" si="16"/>
        <v>0</v>
      </c>
      <c r="I308" s="8">
        <f t="shared" si="17"/>
        <v>0</v>
      </c>
    </row>
    <row r="309" spans="1:9">
      <c r="A309" s="2" t="s">
        <v>310</v>
      </c>
      <c r="B309" s="3">
        <v>2.1800000000000002</v>
      </c>
      <c r="C309" s="4">
        <v>0.11600000000000001</v>
      </c>
      <c r="G309" s="8">
        <f t="shared" si="15"/>
        <v>0</v>
      </c>
      <c r="H309" s="8">
        <f t="shared" si="16"/>
        <v>0</v>
      </c>
      <c r="I309" s="8">
        <f t="shared" si="17"/>
        <v>0</v>
      </c>
    </row>
    <row r="310" spans="1:9">
      <c r="A310" s="2" t="s">
        <v>311</v>
      </c>
      <c r="B310" s="3">
        <v>1.61</v>
      </c>
      <c r="C310" s="4">
        <v>0.13600000000000001</v>
      </c>
      <c r="G310" s="8">
        <f t="shared" si="15"/>
        <v>0</v>
      </c>
      <c r="H310" s="8">
        <f t="shared" si="16"/>
        <v>0</v>
      </c>
      <c r="I310" s="8">
        <f t="shared" si="17"/>
        <v>0</v>
      </c>
    </row>
    <row r="311" spans="1:9">
      <c r="A311" s="2" t="s">
        <v>312</v>
      </c>
      <c r="B311" s="3">
        <v>1.86</v>
      </c>
      <c r="C311" s="4">
        <v>0.13600000000000001</v>
      </c>
      <c r="G311" s="8">
        <f t="shared" si="15"/>
        <v>0</v>
      </c>
      <c r="H311" s="8">
        <f t="shared" si="16"/>
        <v>0</v>
      </c>
      <c r="I311" s="8">
        <f t="shared" si="17"/>
        <v>0</v>
      </c>
    </row>
    <row r="312" spans="1:9">
      <c r="A312" s="2" t="s">
        <v>313</v>
      </c>
      <c r="B312" s="3">
        <v>2.1</v>
      </c>
      <c r="C312" s="4">
        <v>0.13600000000000001</v>
      </c>
      <c r="G312" s="8">
        <f t="shared" si="15"/>
        <v>0</v>
      </c>
      <c r="H312" s="8">
        <f t="shared" si="16"/>
        <v>0</v>
      </c>
      <c r="I312" s="8">
        <f t="shared" si="17"/>
        <v>0</v>
      </c>
    </row>
    <row r="313" spans="1:9">
      <c r="A313" s="2" t="s">
        <v>314</v>
      </c>
      <c r="B313" s="3">
        <v>2.58</v>
      </c>
      <c r="C313" s="4">
        <v>0.13600000000000001</v>
      </c>
      <c r="G313" s="8">
        <f t="shared" si="15"/>
        <v>0</v>
      </c>
      <c r="H313" s="8">
        <f t="shared" si="16"/>
        <v>0</v>
      </c>
      <c r="I313" s="8">
        <f t="shared" si="17"/>
        <v>0</v>
      </c>
    </row>
    <row r="314" spans="1:9">
      <c r="A314" s="2" t="s">
        <v>315</v>
      </c>
      <c r="B314" s="3">
        <v>1.84</v>
      </c>
      <c r="C314" s="4">
        <v>0.156</v>
      </c>
      <c r="G314" s="8">
        <f t="shared" si="15"/>
        <v>0</v>
      </c>
      <c r="H314" s="8">
        <f t="shared" si="16"/>
        <v>0</v>
      </c>
      <c r="I314" s="8">
        <f t="shared" si="17"/>
        <v>0</v>
      </c>
    </row>
    <row r="315" spans="1:9">
      <c r="A315" s="2" t="s">
        <v>316</v>
      </c>
      <c r="B315" s="3">
        <v>2.42</v>
      </c>
      <c r="C315" s="4">
        <v>0.156</v>
      </c>
      <c r="D315" s="7">
        <v>0.25</v>
      </c>
      <c r="E315" s="7">
        <v>0.3</v>
      </c>
      <c r="F315" s="7">
        <v>0.35</v>
      </c>
      <c r="G315" s="8">
        <f t="shared" si="15"/>
        <v>0.4</v>
      </c>
      <c r="H315" s="8">
        <f t="shared" si="16"/>
        <v>0.45</v>
      </c>
      <c r="I315" s="8">
        <f t="shared" si="17"/>
        <v>0.60000000000000009</v>
      </c>
    </row>
    <row r="316" spans="1:9">
      <c r="A316" s="2" t="s">
        <v>317</v>
      </c>
      <c r="B316" s="3">
        <v>2.97</v>
      </c>
      <c r="C316" s="4">
        <v>0.156</v>
      </c>
      <c r="G316" s="8">
        <f t="shared" si="15"/>
        <v>0</v>
      </c>
      <c r="H316" s="8">
        <f t="shared" si="16"/>
        <v>0</v>
      </c>
      <c r="I316" s="8">
        <f t="shared" si="17"/>
        <v>0</v>
      </c>
    </row>
    <row r="317" spans="1:9">
      <c r="A317" s="2" t="s">
        <v>318</v>
      </c>
      <c r="B317" s="3">
        <v>3.52</v>
      </c>
      <c r="C317" s="4">
        <v>0.156</v>
      </c>
      <c r="G317" s="8">
        <f t="shared" si="15"/>
        <v>0</v>
      </c>
      <c r="H317" s="8">
        <f t="shared" si="16"/>
        <v>0</v>
      </c>
      <c r="I317" s="8">
        <f t="shared" si="17"/>
        <v>0</v>
      </c>
    </row>
    <row r="318" spans="1:9">
      <c r="A318" s="2" t="s">
        <v>319</v>
      </c>
      <c r="B318" s="3">
        <v>2.09</v>
      </c>
      <c r="C318" s="4">
        <v>0.17399999999999999</v>
      </c>
      <c r="G318" s="8">
        <f t="shared" si="15"/>
        <v>0</v>
      </c>
      <c r="H318" s="8">
        <f t="shared" si="16"/>
        <v>0</v>
      </c>
      <c r="I318" s="8">
        <f t="shared" si="17"/>
        <v>0</v>
      </c>
    </row>
    <row r="319" spans="1:9">
      <c r="A319" s="2" t="s">
        <v>320</v>
      </c>
      <c r="B319" s="3">
        <v>2.74</v>
      </c>
      <c r="C319" s="4">
        <v>0.17399999999999999</v>
      </c>
      <c r="G319" s="8">
        <f t="shared" si="15"/>
        <v>0</v>
      </c>
      <c r="H319" s="8">
        <f t="shared" si="16"/>
        <v>0</v>
      </c>
      <c r="I319" s="8">
        <f t="shared" si="17"/>
        <v>0</v>
      </c>
    </row>
    <row r="320" spans="1:9">
      <c r="A320" s="2" t="s">
        <v>321</v>
      </c>
      <c r="B320" s="3">
        <v>3.06</v>
      </c>
      <c r="C320" s="4">
        <v>0.17399999999999999</v>
      </c>
      <c r="G320" s="8">
        <f t="shared" si="15"/>
        <v>0</v>
      </c>
      <c r="H320" s="8">
        <f t="shared" si="16"/>
        <v>0</v>
      </c>
      <c r="I320" s="8">
        <f t="shared" si="17"/>
        <v>0</v>
      </c>
    </row>
    <row r="321" spans="1:9">
      <c r="A321" s="2" t="s">
        <v>322</v>
      </c>
      <c r="B321" s="3">
        <v>3.38</v>
      </c>
      <c r="C321" s="4">
        <v>0.17399999999999999</v>
      </c>
      <c r="G321" s="8">
        <f t="shared" si="15"/>
        <v>0</v>
      </c>
      <c r="H321" s="8">
        <f t="shared" si="16"/>
        <v>0</v>
      </c>
      <c r="I321" s="8">
        <f t="shared" si="17"/>
        <v>0</v>
      </c>
    </row>
    <row r="322" spans="1:9">
      <c r="A322" s="2" t="s">
        <v>323</v>
      </c>
      <c r="B322" s="3">
        <v>4</v>
      </c>
      <c r="C322" s="4">
        <v>0.17399999999999999</v>
      </c>
      <c r="G322" s="8">
        <f t="shared" ref="G322:G385" si="18">MROUND($E322*1.3,0.05)</f>
        <v>0</v>
      </c>
      <c r="H322" s="8">
        <f t="shared" ref="H322:H385" si="19">MROUND($E322*1.5,0.05)</f>
        <v>0</v>
      </c>
      <c r="I322" s="8">
        <f t="shared" ref="I322:I385" si="20">MROUND($E322*2,0.05)</f>
        <v>0</v>
      </c>
    </row>
    <row r="323" spans="1:9">
      <c r="A323" s="2" t="s">
        <v>324</v>
      </c>
      <c r="B323" s="3">
        <v>2.33</v>
      </c>
      <c r="C323" s="4">
        <v>0.19400000000000001</v>
      </c>
      <c r="G323" s="8">
        <f t="shared" si="18"/>
        <v>0</v>
      </c>
      <c r="H323" s="8">
        <f t="shared" si="19"/>
        <v>0</v>
      </c>
      <c r="I323" s="8">
        <f t="shared" si="20"/>
        <v>0</v>
      </c>
    </row>
    <row r="324" spans="1:9">
      <c r="A324" s="2" t="s">
        <v>325</v>
      </c>
      <c r="B324" s="3">
        <v>3.06</v>
      </c>
      <c r="C324" s="4">
        <v>0.19400000000000001</v>
      </c>
      <c r="G324" s="8">
        <f t="shared" si="18"/>
        <v>0</v>
      </c>
      <c r="H324" s="8">
        <f t="shared" si="19"/>
        <v>0</v>
      </c>
      <c r="I324" s="8">
        <f t="shared" si="20"/>
        <v>0</v>
      </c>
    </row>
    <row r="325" spans="1:9">
      <c r="A325" s="2" t="s">
        <v>326</v>
      </c>
      <c r="B325" s="3">
        <v>3.77</v>
      </c>
      <c r="C325" s="4">
        <v>0.19400000000000001</v>
      </c>
      <c r="D325" s="7">
        <v>0.25</v>
      </c>
      <c r="E325" s="7">
        <v>0.3</v>
      </c>
      <c r="F325" s="7">
        <v>0.35</v>
      </c>
      <c r="G325" s="8">
        <f t="shared" si="18"/>
        <v>0.4</v>
      </c>
      <c r="H325" s="8">
        <f t="shared" si="19"/>
        <v>0.45</v>
      </c>
      <c r="I325" s="8">
        <f t="shared" si="20"/>
        <v>0.60000000000000009</v>
      </c>
    </row>
    <row r="326" spans="1:9">
      <c r="A326" s="2" t="s">
        <v>327</v>
      </c>
      <c r="B326" s="3">
        <v>4.47</v>
      </c>
      <c r="C326" s="4">
        <v>0.19400000000000001</v>
      </c>
      <c r="D326" s="7">
        <v>0.25</v>
      </c>
      <c r="E326" s="7">
        <v>0.3</v>
      </c>
      <c r="F326" s="7">
        <v>0.35</v>
      </c>
      <c r="G326" s="8">
        <f t="shared" si="18"/>
        <v>0.4</v>
      </c>
      <c r="H326" s="8">
        <f t="shared" si="19"/>
        <v>0.45</v>
      </c>
      <c r="I326" s="8">
        <f t="shared" si="20"/>
        <v>0.60000000000000009</v>
      </c>
    </row>
    <row r="327" spans="1:9">
      <c r="A327" s="2" t="s">
        <v>328</v>
      </c>
      <c r="B327" s="3">
        <v>5.15</v>
      </c>
      <c r="C327" s="4">
        <v>0.19400000000000001</v>
      </c>
      <c r="G327" s="8">
        <f t="shared" si="18"/>
        <v>0</v>
      </c>
      <c r="H327" s="8">
        <f t="shared" si="19"/>
        <v>0</v>
      </c>
      <c r="I327" s="8">
        <f t="shared" si="20"/>
        <v>0</v>
      </c>
    </row>
    <row r="328" spans="1:9">
      <c r="A328" s="2" t="s">
        <v>329</v>
      </c>
      <c r="B328" s="3">
        <v>5.82</v>
      </c>
      <c r="C328" s="4">
        <v>0.19400000000000001</v>
      </c>
      <c r="G328" s="8">
        <f t="shared" si="18"/>
        <v>0</v>
      </c>
      <c r="H328" s="8">
        <f t="shared" si="19"/>
        <v>0</v>
      </c>
      <c r="I328" s="8">
        <f t="shared" si="20"/>
        <v>0</v>
      </c>
    </row>
    <row r="329" spans="1:9">
      <c r="A329" s="2" t="s">
        <v>330</v>
      </c>
      <c r="B329" s="3">
        <v>3.38</v>
      </c>
      <c r="C329" s="4">
        <v>0.21299999999999999</v>
      </c>
      <c r="G329" s="8">
        <f t="shared" si="18"/>
        <v>0</v>
      </c>
      <c r="H329" s="8">
        <f t="shared" si="19"/>
        <v>0</v>
      </c>
      <c r="I329" s="8">
        <f t="shared" si="20"/>
        <v>0</v>
      </c>
    </row>
    <row r="330" spans="1:9">
      <c r="A330" s="2" t="s">
        <v>331</v>
      </c>
      <c r="B330" s="3">
        <v>4.18</v>
      </c>
      <c r="C330" s="4">
        <v>0.21299999999999999</v>
      </c>
      <c r="G330" s="8">
        <f t="shared" si="18"/>
        <v>0</v>
      </c>
      <c r="H330" s="8">
        <f t="shared" si="19"/>
        <v>0</v>
      </c>
      <c r="I330" s="8">
        <f t="shared" si="20"/>
        <v>0</v>
      </c>
    </row>
    <row r="331" spans="1:9">
      <c r="A331" s="2" t="s">
        <v>332</v>
      </c>
      <c r="B331" s="3">
        <v>4.95</v>
      </c>
      <c r="C331" s="4">
        <v>0.21299999999999999</v>
      </c>
      <c r="G331" s="8">
        <f t="shared" si="18"/>
        <v>0</v>
      </c>
      <c r="H331" s="8">
        <f t="shared" si="19"/>
        <v>0</v>
      </c>
      <c r="I331" s="8">
        <f t="shared" si="20"/>
        <v>0</v>
      </c>
    </row>
    <row r="332" spans="1:9">
      <c r="A332" s="2" t="s">
        <v>333</v>
      </c>
      <c r="B332" s="3">
        <v>5.72</v>
      </c>
      <c r="C332" s="4">
        <v>0.21299999999999999</v>
      </c>
      <c r="G332" s="8">
        <f t="shared" si="18"/>
        <v>0</v>
      </c>
      <c r="H332" s="8">
        <f t="shared" si="19"/>
        <v>0</v>
      </c>
      <c r="I332" s="8">
        <f t="shared" si="20"/>
        <v>0</v>
      </c>
    </row>
    <row r="333" spans="1:9">
      <c r="A333" s="2" t="s">
        <v>334</v>
      </c>
      <c r="B333" s="3">
        <v>6.47</v>
      </c>
      <c r="C333" s="4">
        <v>0.21299999999999999</v>
      </c>
      <c r="G333" s="8">
        <f t="shared" si="18"/>
        <v>0</v>
      </c>
      <c r="H333" s="8">
        <f t="shared" si="19"/>
        <v>0</v>
      </c>
      <c r="I333" s="8">
        <f t="shared" si="20"/>
        <v>0</v>
      </c>
    </row>
    <row r="334" spans="1:9">
      <c r="A334" s="2" t="s">
        <v>335</v>
      </c>
      <c r="B334" s="3">
        <v>3.7</v>
      </c>
      <c r="C334" s="4">
        <v>0.23300000000000001</v>
      </c>
      <c r="G334" s="8">
        <f t="shared" si="18"/>
        <v>0</v>
      </c>
      <c r="H334" s="8">
        <f t="shared" si="19"/>
        <v>0</v>
      </c>
      <c r="I334" s="8">
        <f t="shared" si="20"/>
        <v>0</v>
      </c>
    </row>
    <row r="335" spans="1:9">
      <c r="A335" s="2" t="s">
        <v>336</v>
      </c>
      <c r="B335" s="3">
        <v>4.57</v>
      </c>
      <c r="C335" s="4">
        <v>0.23300000000000001</v>
      </c>
      <c r="G335" s="8">
        <f t="shared" si="18"/>
        <v>0</v>
      </c>
      <c r="H335" s="8">
        <f t="shared" si="19"/>
        <v>0</v>
      </c>
      <c r="I335" s="8">
        <f t="shared" si="20"/>
        <v>0</v>
      </c>
    </row>
    <row r="336" spans="1:9">
      <c r="A336" s="2" t="s">
        <v>337</v>
      </c>
      <c r="B336" s="3">
        <v>5.42</v>
      </c>
      <c r="C336" s="4">
        <v>0.23300000000000001</v>
      </c>
      <c r="D336" s="7">
        <v>0.25</v>
      </c>
      <c r="E336" s="7">
        <v>0.3</v>
      </c>
      <c r="F336" s="7">
        <v>0.35</v>
      </c>
      <c r="G336" s="8">
        <f t="shared" si="18"/>
        <v>0.4</v>
      </c>
      <c r="H336" s="8">
        <f t="shared" si="19"/>
        <v>0.45</v>
      </c>
      <c r="I336" s="8">
        <f t="shared" si="20"/>
        <v>0.60000000000000009</v>
      </c>
    </row>
    <row r="337" spans="1:9">
      <c r="A337" s="2" t="s">
        <v>338</v>
      </c>
      <c r="B337" s="3">
        <v>6.21</v>
      </c>
      <c r="C337" s="4">
        <v>0.23300000000000001</v>
      </c>
      <c r="D337" s="7">
        <v>0.25</v>
      </c>
      <c r="E337" s="7">
        <v>0.3</v>
      </c>
      <c r="F337" s="7">
        <v>0.35</v>
      </c>
      <c r="G337" s="8">
        <f t="shared" si="18"/>
        <v>0.4</v>
      </c>
      <c r="H337" s="8">
        <f t="shared" si="19"/>
        <v>0.45</v>
      </c>
      <c r="I337" s="8">
        <f t="shared" si="20"/>
        <v>0.60000000000000009</v>
      </c>
    </row>
    <row r="338" spans="1:9">
      <c r="A338" s="2" t="s">
        <v>339</v>
      </c>
      <c r="B338" s="3">
        <v>7.09</v>
      </c>
      <c r="C338" s="4">
        <v>0.23300000000000001</v>
      </c>
      <c r="D338" s="7">
        <v>0.3</v>
      </c>
      <c r="E338" s="7">
        <v>0.35</v>
      </c>
      <c r="F338" s="7">
        <v>0.4</v>
      </c>
      <c r="G338" s="8">
        <f t="shared" si="18"/>
        <v>0.45</v>
      </c>
      <c r="H338" s="8">
        <f t="shared" si="19"/>
        <v>0.55000000000000004</v>
      </c>
      <c r="I338" s="8">
        <f t="shared" si="20"/>
        <v>0.70000000000000007</v>
      </c>
    </row>
    <row r="339" spans="1:9">
      <c r="A339" s="2" t="s">
        <v>340</v>
      </c>
      <c r="B339" s="3">
        <v>8.6</v>
      </c>
      <c r="C339" s="4">
        <v>0.23300000000000001</v>
      </c>
      <c r="D339" s="7">
        <v>0.3</v>
      </c>
      <c r="E339" s="7">
        <v>0.35</v>
      </c>
      <c r="F339" s="7">
        <v>0.4</v>
      </c>
      <c r="G339" s="8">
        <f t="shared" si="18"/>
        <v>0.45</v>
      </c>
      <c r="H339" s="8">
        <f t="shared" si="19"/>
        <v>0.55000000000000004</v>
      </c>
      <c r="I339" s="8">
        <f t="shared" si="20"/>
        <v>0.70000000000000007</v>
      </c>
    </row>
    <row r="340" spans="1:9">
      <c r="A340" s="2" t="s">
        <v>341</v>
      </c>
      <c r="B340" s="3">
        <v>4.97</v>
      </c>
      <c r="C340" s="4">
        <v>0.252</v>
      </c>
      <c r="G340" s="8">
        <f t="shared" si="18"/>
        <v>0</v>
      </c>
      <c r="H340" s="8">
        <f t="shared" si="19"/>
        <v>0</v>
      </c>
      <c r="I340" s="8">
        <f t="shared" si="20"/>
        <v>0</v>
      </c>
    </row>
    <row r="341" spans="1:9">
      <c r="A341" s="2" t="s">
        <v>342</v>
      </c>
      <c r="B341" s="3">
        <v>5.91</v>
      </c>
      <c r="C341" s="4">
        <v>0.252</v>
      </c>
      <c r="G341" s="8">
        <f t="shared" si="18"/>
        <v>0</v>
      </c>
      <c r="H341" s="8">
        <f t="shared" si="19"/>
        <v>0</v>
      </c>
      <c r="I341" s="8">
        <f t="shared" si="20"/>
        <v>0</v>
      </c>
    </row>
    <row r="342" spans="1:9">
      <c r="A342" s="2" t="s">
        <v>343</v>
      </c>
      <c r="B342" s="3">
        <v>6.83</v>
      </c>
      <c r="C342" s="4">
        <v>0.252</v>
      </c>
      <c r="G342" s="8">
        <f t="shared" si="18"/>
        <v>0</v>
      </c>
      <c r="H342" s="8">
        <f t="shared" si="19"/>
        <v>0</v>
      </c>
      <c r="I342" s="8">
        <f t="shared" si="20"/>
        <v>0</v>
      </c>
    </row>
    <row r="343" spans="1:9">
      <c r="A343" s="2" t="s">
        <v>344</v>
      </c>
      <c r="B343" s="3">
        <v>7.73</v>
      </c>
      <c r="C343" s="4">
        <v>0.252</v>
      </c>
      <c r="G343" s="8">
        <f t="shared" si="18"/>
        <v>0</v>
      </c>
      <c r="H343" s="8">
        <f t="shared" si="19"/>
        <v>0</v>
      </c>
      <c r="I343" s="8">
        <f t="shared" si="20"/>
        <v>0</v>
      </c>
    </row>
    <row r="344" spans="1:9">
      <c r="A344" s="2" t="s">
        <v>345</v>
      </c>
      <c r="B344" s="3">
        <v>5.37</v>
      </c>
      <c r="C344" s="4">
        <v>0.27200000000000002</v>
      </c>
      <c r="G344" s="8">
        <f t="shared" si="18"/>
        <v>0</v>
      </c>
      <c r="H344" s="8">
        <f t="shared" si="19"/>
        <v>0</v>
      </c>
      <c r="I344" s="8">
        <f t="shared" si="20"/>
        <v>0</v>
      </c>
    </row>
    <row r="345" spans="1:9">
      <c r="A345" s="2" t="s">
        <v>346</v>
      </c>
      <c r="B345" s="3">
        <v>6.38</v>
      </c>
      <c r="C345" s="4">
        <v>0.27200000000000002</v>
      </c>
      <c r="G345" s="8">
        <f t="shared" si="18"/>
        <v>0</v>
      </c>
      <c r="H345" s="8">
        <f t="shared" si="19"/>
        <v>0</v>
      </c>
      <c r="I345" s="8">
        <f t="shared" si="20"/>
        <v>0</v>
      </c>
    </row>
    <row r="346" spans="1:9">
      <c r="A346" s="2" t="s">
        <v>347</v>
      </c>
      <c r="B346" s="3">
        <v>7.38</v>
      </c>
      <c r="C346" s="4">
        <v>0.27200000000000002</v>
      </c>
      <c r="D346" s="7">
        <v>0.3</v>
      </c>
      <c r="E346" s="7">
        <v>0.35</v>
      </c>
      <c r="F346" s="7">
        <v>0.4</v>
      </c>
      <c r="G346" s="8">
        <f t="shared" si="18"/>
        <v>0.45</v>
      </c>
      <c r="H346" s="8">
        <f t="shared" si="19"/>
        <v>0.55000000000000004</v>
      </c>
      <c r="I346" s="8">
        <f t="shared" si="20"/>
        <v>0.70000000000000007</v>
      </c>
    </row>
    <row r="347" spans="1:9">
      <c r="A347" s="2" t="s">
        <v>348</v>
      </c>
      <c r="B347" s="3">
        <v>8.36</v>
      </c>
      <c r="C347" s="4">
        <v>0.27200000000000002</v>
      </c>
      <c r="D347" s="7">
        <v>0.3</v>
      </c>
      <c r="E347" s="7">
        <v>0.35</v>
      </c>
      <c r="F347" s="7">
        <v>0.4</v>
      </c>
      <c r="G347" s="8">
        <f t="shared" si="18"/>
        <v>0.45</v>
      </c>
      <c r="H347" s="8">
        <f t="shared" si="19"/>
        <v>0.55000000000000004</v>
      </c>
      <c r="I347" s="8">
        <f t="shared" si="20"/>
        <v>0.70000000000000007</v>
      </c>
    </row>
    <row r="348" spans="1:9">
      <c r="A348" s="2" t="s">
        <v>349</v>
      </c>
      <c r="B348" s="3">
        <v>9.32</v>
      </c>
      <c r="C348" s="4">
        <v>0.27200000000000002</v>
      </c>
      <c r="D348" s="7">
        <v>0.3</v>
      </c>
      <c r="E348" s="7">
        <v>0.35</v>
      </c>
      <c r="F348" s="7">
        <v>0.4</v>
      </c>
      <c r="G348" s="8">
        <f t="shared" si="18"/>
        <v>0.45</v>
      </c>
      <c r="H348" s="8">
        <f t="shared" si="19"/>
        <v>0.55000000000000004</v>
      </c>
      <c r="I348" s="8">
        <f t="shared" si="20"/>
        <v>0.70000000000000007</v>
      </c>
    </row>
    <row r="349" spans="1:9">
      <c r="A349" s="2" t="s">
        <v>350</v>
      </c>
      <c r="B349" s="3">
        <v>10.210000000000001</v>
      </c>
      <c r="C349" s="4">
        <v>0.27200000000000002</v>
      </c>
      <c r="D349" s="7">
        <v>0.3</v>
      </c>
      <c r="E349" s="7">
        <v>0.35</v>
      </c>
      <c r="F349" s="7">
        <v>0.4</v>
      </c>
      <c r="G349" s="8">
        <f t="shared" si="18"/>
        <v>0.45</v>
      </c>
      <c r="H349" s="8">
        <f t="shared" si="19"/>
        <v>0.55000000000000004</v>
      </c>
      <c r="I349" s="8">
        <f t="shared" si="20"/>
        <v>0.70000000000000007</v>
      </c>
    </row>
    <row r="350" spans="1:9">
      <c r="A350" s="2" t="s">
        <v>351</v>
      </c>
      <c r="B350" s="3">
        <v>5.78</v>
      </c>
      <c r="C350" s="4">
        <v>0.29099999999999998</v>
      </c>
      <c r="G350" s="8">
        <f t="shared" si="18"/>
        <v>0</v>
      </c>
      <c r="H350" s="8">
        <f t="shared" si="19"/>
        <v>0</v>
      </c>
      <c r="I350" s="8">
        <f t="shared" si="20"/>
        <v>0</v>
      </c>
    </row>
    <row r="351" spans="1:9">
      <c r="A351" s="2" t="s">
        <v>352</v>
      </c>
      <c r="B351" s="3">
        <v>6.87</v>
      </c>
      <c r="C351" s="4">
        <v>0.29099999999999998</v>
      </c>
      <c r="D351" s="7">
        <v>0.35</v>
      </c>
      <c r="E351" s="7">
        <v>0.4</v>
      </c>
      <c r="F351" s="7">
        <v>0.45</v>
      </c>
      <c r="G351" s="8">
        <f t="shared" si="18"/>
        <v>0.5</v>
      </c>
      <c r="H351" s="8">
        <f t="shared" si="19"/>
        <v>0.60000000000000009</v>
      </c>
      <c r="I351" s="8">
        <f t="shared" si="20"/>
        <v>0.8</v>
      </c>
    </row>
    <row r="352" spans="1:9">
      <c r="A352" s="2" t="s">
        <v>353</v>
      </c>
      <c r="B352" s="3">
        <v>7.94</v>
      </c>
      <c r="C352" s="4">
        <v>0.29099999999999998</v>
      </c>
      <c r="D352" s="7">
        <v>0.35</v>
      </c>
      <c r="E352" s="7">
        <v>0.4</v>
      </c>
      <c r="F352" s="7">
        <v>0.45</v>
      </c>
      <c r="G352" s="8">
        <f t="shared" si="18"/>
        <v>0.5</v>
      </c>
      <c r="H352" s="8">
        <f t="shared" si="19"/>
        <v>0.60000000000000009</v>
      </c>
      <c r="I352" s="8">
        <f t="shared" si="20"/>
        <v>0.8</v>
      </c>
    </row>
    <row r="353" spans="1:9">
      <c r="A353" s="2" t="s">
        <v>354</v>
      </c>
      <c r="B353" s="3">
        <v>9</v>
      </c>
      <c r="C353" s="4">
        <v>0.29099999999999998</v>
      </c>
      <c r="D353" s="7">
        <v>0.35</v>
      </c>
      <c r="E353" s="7">
        <v>0.4</v>
      </c>
      <c r="F353" s="7">
        <v>0.45</v>
      </c>
      <c r="G353" s="8">
        <f t="shared" si="18"/>
        <v>0.5</v>
      </c>
      <c r="H353" s="8">
        <f t="shared" si="19"/>
        <v>0.60000000000000009</v>
      </c>
      <c r="I353" s="8">
        <f t="shared" si="20"/>
        <v>0.8</v>
      </c>
    </row>
    <row r="354" spans="1:9">
      <c r="A354" s="2" t="s">
        <v>355</v>
      </c>
      <c r="B354" s="3">
        <v>11.05</v>
      </c>
      <c r="C354" s="4">
        <v>0.29099999999999998</v>
      </c>
      <c r="D354" s="7">
        <v>0.35</v>
      </c>
      <c r="E354" s="7">
        <v>0.4</v>
      </c>
      <c r="F354" s="7">
        <v>0.45</v>
      </c>
      <c r="G354" s="8">
        <f t="shared" si="18"/>
        <v>0.5</v>
      </c>
      <c r="H354" s="8">
        <f t="shared" si="19"/>
        <v>0.60000000000000009</v>
      </c>
      <c r="I354" s="8">
        <f t="shared" si="20"/>
        <v>0.8</v>
      </c>
    </row>
    <row r="355" spans="1:9">
      <c r="A355" s="2" t="s">
        <v>356</v>
      </c>
      <c r="B355" s="3">
        <v>7.34</v>
      </c>
      <c r="C355" s="4">
        <v>0.311</v>
      </c>
      <c r="G355" s="8">
        <f t="shared" si="18"/>
        <v>0</v>
      </c>
      <c r="H355" s="8">
        <f t="shared" si="19"/>
        <v>0</v>
      </c>
      <c r="I355" s="8">
        <f t="shared" si="20"/>
        <v>0</v>
      </c>
    </row>
    <row r="356" spans="1:9">
      <c r="A356" s="2" t="s">
        <v>357</v>
      </c>
      <c r="B356" s="3">
        <v>8.49</v>
      </c>
      <c r="C356" s="4">
        <v>0.311</v>
      </c>
      <c r="G356" s="8">
        <f t="shared" si="18"/>
        <v>0</v>
      </c>
      <c r="H356" s="8">
        <f t="shared" si="19"/>
        <v>0</v>
      </c>
      <c r="I356" s="8">
        <f t="shared" si="20"/>
        <v>0</v>
      </c>
    </row>
    <row r="357" spans="1:9">
      <c r="A357" s="2" t="s">
        <v>358</v>
      </c>
      <c r="B357" s="3">
        <v>9.6300000000000008</v>
      </c>
      <c r="C357" s="4">
        <v>0.311</v>
      </c>
      <c r="D357" s="7">
        <v>0.35</v>
      </c>
      <c r="E357" s="7">
        <v>0.4</v>
      </c>
      <c r="F357" s="7">
        <v>0.45</v>
      </c>
      <c r="G357" s="8">
        <f t="shared" si="18"/>
        <v>0.5</v>
      </c>
      <c r="H357" s="8">
        <f t="shared" si="19"/>
        <v>0.60000000000000009</v>
      </c>
      <c r="I357" s="8">
        <f t="shared" si="20"/>
        <v>0.8</v>
      </c>
    </row>
    <row r="358" spans="1:9">
      <c r="A358" s="2" t="s">
        <v>359</v>
      </c>
      <c r="B358" s="3">
        <v>11.86</v>
      </c>
      <c r="C358" s="4">
        <v>0.311</v>
      </c>
      <c r="D358" s="7">
        <v>0.35</v>
      </c>
      <c r="E358" s="7">
        <v>0.4</v>
      </c>
      <c r="F358" s="7">
        <v>0.45</v>
      </c>
      <c r="G358" s="8">
        <f t="shared" si="18"/>
        <v>0.5</v>
      </c>
      <c r="H358" s="8">
        <f t="shared" si="19"/>
        <v>0.60000000000000009</v>
      </c>
      <c r="I358" s="8">
        <f t="shared" si="20"/>
        <v>0.8</v>
      </c>
    </row>
    <row r="359" spans="1:9">
      <c r="A359" s="2" t="s">
        <v>360</v>
      </c>
      <c r="B359" s="3">
        <v>8.3000000000000007</v>
      </c>
      <c r="C359" s="4">
        <v>0.35099999999999998</v>
      </c>
      <c r="G359" s="8">
        <f t="shared" si="18"/>
        <v>0</v>
      </c>
      <c r="H359" s="8">
        <f t="shared" si="19"/>
        <v>0</v>
      </c>
      <c r="I359" s="8">
        <f t="shared" si="20"/>
        <v>0</v>
      </c>
    </row>
    <row r="360" spans="1:9">
      <c r="A360" s="2" t="s">
        <v>361</v>
      </c>
      <c r="B360" s="3">
        <v>9.61</v>
      </c>
      <c r="C360" s="4">
        <v>0.35099999999999998</v>
      </c>
      <c r="G360" s="8">
        <f t="shared" si="18"/>
        <v>0</v>
      </c>
      <c r="H360" s="8">
        <f t="shared" si="19"/>
        <v>0</v>
      </c>
      <c r="I360" s="8">
        <f t="shared" si="20"/>
        <v>0</v>
      </c>
    </row>
    <row r="361" spans="1:9">
      <c r="A361" s="2" t="s">
        <v>362</v>
      </c>
      <c r="B361" s="3">
        <v>10.9</v>
      </c>
      <c r="C361" s="4">
        <v>0.35099999999999998</v>
      </c>
      <c r="G361" s="8">
        <f t="shared" si="18"/>
        <v>0</v>
      </c>
      <c r="H361" s="8">
        <f t="shared" si="19"/>
        <v>0</v>
      </c>
      <c r="I361" s="8">
        <f t="shared" si="20"/>
        <v>0</v>
      </c>
    </row>
    <row r="362" spans="1:9">
      <c r="A362" s="2" t="s">
        <v>363</v>
      </c>
      <c r="B362" s="3">
        <v>12.18</v>
      </c>
      <c r="C362" s="4">
        <v>0.35099999999999998</v>
      </c>
      <c r="D362" s="7">
        <v>0.5</v>
      </c>
      <c r="E362" s="7">
        <v>0.55000000000000004</v>
      </c>
      <c r="F362" s="7">
        <v>0.6</v>
      </c>
      <c r="G362" s="8">
        <f t="shared" si="18"/>
        <v>0.70000000000000007</v>
      </c>
      <c r="H362" s="8">
        <f t="shared" si="19"/>
        <v>0.85000000000000009</v>
      </c>
      <c r="I362" s="8">
        <f t="shared" si="20"/>
        <v>1.1000000000000001</v>
      </c>
    </row>
    <row r="363" spans="1:9">
      <c r="A363" s="2" t="s">
        <v>364</v>
      </c>
      <c r="B363" s="3">
        <v>13.45</v>
      </c>
      <c r="C363" s="4">
        <v>0.35099999999999998</v>
      </c>
      <c r="G363" s="8">
        <f t="shared" si="18"/>
        <v>0</v>
      </c>
      <c r="H363" s="8">
        <f t="shared" si="19"/>
        <v>0</v>
      </c>
      <c r="I363" s="8">
        <f t="shared" si="20"/>
        <v>0</v>
      </c>
    </row>
    <row r="364" spans="1:9">
      <c r="A364" s="2" t="s">
        <v>365</v>
      </c>
      <c r="B364" s="3">
        <v>14.7</v>
      </c>
      <c r="C364" s="4">
        <v>0.35099999999999998</v>
      </c>
      <c r="G364" s="8">
        <f t="shared" si="18"/>
        <v>0</v>
      </c>
      <c r="H364" s="8">
        <f t="shared" si="19"/>
        <v>0</v>
      </c>
      <c r="I364" s="8">
        <f t="shared" si="20"/>
        <v>0</v>
      </c>
    </row>
    <row r="365" spans="1:9">
      <c r="A365" s="2" t="s">
        <v>366</v>
      </c>
      <c r="B365" s="3">
        <v>9.26</v>
      </c>
      <c r="C365" s="4">
        <v>0.39</v>
      </c>
      <c r="G365" s="8">
        <f t="shared" si="18"/>
        <v>0</v>
      </c>
      <c r="H365" s="8">
        <f t="shared" si="19"/>
        <v>0</v>
      </c>
      <c r="I365" s="8">
        <f t="shared" si="20"/>
        <v>0</v>
      </c>
    </row>
    <row r="366" spans="1:9">
      <c r="A366" s="2" t="s">
        <v>367</v>
      </c>
      <c r="B366" s="3">
        <v>10.73</v>
      </c>
      <c r="C366" s="4">
        <v>0.39</v>
      </c>
      <c r="G366" s="8">
        <f t="shared" si="18"/>
        <v>0</v>
      </c>
      <c r="H366" s="8">
        <f t="shared" si="19"/>
        <v>0</v>
      </c>
      <c r="I366" s="8">
        <f t="shared" si="20"/>
        <v>0</v>
      </c>
    </row>
    <row r="367" spans="1:9">
      <c r="A367" s="2" t="s">
        <v>368</v>
      </c>
      <c r="B367" s="3">
        <v>12.2</v>
      </c>
      <c r="C367" s="4">
        <v>0.39</v>
      </c>
      <c r="D367" s="7">
        <v>0.7</v>
      </c>
      <c r="E367" s="7">
        <v>0.75</v>
      </c>
      <c r="F367" s="7">
        <v>0.8</v>
      </c>
      <c r="G367" s="8">
        <f t="shared" si="18"/>
        <v>1</v>
      </c>
      <c r="H367" s="8">
        <f t="shared" si="19"/>
        <v>1.1500000000000001</v>
      </c>
      <c r="I367" s="8">
        <f t="shared" si="20"/>
        <v>1.5</v>
      </c>
    </row>
    <row r="368" spans="1:9">
      <c r="A368" s="2" t="s">
        <v>369</v>
      </c>
      <c r="B368" s="3">
        <v>15</v>
      </c>
      <c r="C368" s="4">
        <v>0.39</v>
      </c>
      <c r="D368" s="7">
        <v>0.7</v>
      </c>
      <c r="E368" s="7">
        <v>0.75</v>
      </c>
      <c r="F368" s="7">
        <v>0.8</v>
      </c>
      <c r="G368" s="8">
        <f t="shared" si="18"/>
        <v>1</v>
      </c>
      <c r="H368" s="8">
        <f t="shared" si="19"/>
        <v>1.1500000000000001</v>
      </c>
      <c r="I368" s="8">
        <f t="shared" si="20"/>
        <v>1.5</v>
      </c>
    </row>
    <row r="369" spans="1:9">
      <c r="A369" s="2" t="s">
        <v>370</v>
      </c>
      <c r="B369" s="3">
        <v>17.8</v>
      </c>
      <c r="C369" s="4">
        <v>0.39</v>
      </c>
      <c r="D369" s="7">
        <v>0.75</v>
      </c>
      <c r="E369" s="7">
        <v>0.8</v>
      </c>
      <c r="F369" s="7">
        <v>0.85</v>
      </c>
      <c r="G369" s="8">
        <f t="shared" si="18"/>
        <v>1.05</v>
      </c>
      <c r="H369" s="8">
        <f t="shared" si="19"/>
        <v>1.2000000000000002</v>
      </c>
      <c r="I369" s="8">
        <f t="shared" si="20"/>
        <v>1.6</v>
      </c>
    </row>
    <row r="370" spans="1:9">
      <c r="A370" s="2" t="s">
        <v>371</v>
      </c>
      <c r="B370" s="3">
        <v>20.399999999999999</v>
      </c>
      <c r="C370" s="4">
        <v>0.39</v>
      </c>
      <c r="D370" s="7">
        <v>0.75</v>
      </c>
      <c r="E370" s="7">
        <v>0.8</v>
      </c>
      <c r="F370" s="7">
        <v>0.85</v>
      </c>
      <c r="G370" s="8">
        <f t="shared" si="18"/>
        <v>1.05</v>
      </c>
      <c r="H370" s="8">
        <f t="shared" si="19"/>
        <v>1.2000000000000002</v>
      </c>
      <c r="I370" s="8">
        <f t="shared" si="20"/>
        <v>1.6</v>
      </c>
    </row>
    <row r="371" spans="1:9">
      <c r="A371" s="2" t="s">
        <v>372</v>
      </c>
      <c r="B371" s="3">
        <v>21.8</v>
      </c>
      <c r="C371" s="4">
        <v>0.39</v>
      </c>
      <c r="D371" s="7">
        <v>0.8</v>
      </c>
      <c r="E371" s="7">
        <v>0.85</v>
      </c>
      <c r="F371" s="7">
        <v>0.9</v>
      </c>
      <c r="G371" s="8">
        <f t="shared" si="18"/>
        <v>1.1000000000000001</v>
      </c>
      <c r="H371" s="8">
        <f t="shared" si="19"/>
        <v>1.3</v>
      </c>
      <c r="I371" s="8">
        <f t="shared" si="20"/>
        <v>1.7000000000000002</v>
      </c>
    </row>
    <row r="372" spans="1:9">
      <c r="A372" s="2" t="s">
        <v>373</v>
      </c>
      <c r="B372" s="3">
        <v>16.600000000000001</v>
      </c>
      <c r="C372" s="4">
        <v>0.42899999999999999</v>
      </c>
      <c r="D372" s="7">
        <v>0.7</v>
      </c>
      <c r="E372" s="7">
        <v>0.75</v>
      </c>
      <c r="F372" s="7">
        <v>0.8</v>
      </c>
      <c r="G372" s="8">
        <f t="shared" si="18"/>
        <v>1</v>
      </c>
      <c r="H372" s="8">
        <f t="shared" si="19"/>
        <v>1.1500000000000001</v>
      </c>
      <c r="I372" s="8">
        <f t="shared" si="20"/>
        <v>1.5</v>
      </c>
    </row>
    <row r="373" spans="1:9">
      <c r="A373" s="2" t="s">
        <v>374</v>
      </c>
      <c r="B373" s="3">
        <v>19.7</v>
      </c>
      <c r="C373" s="4">
        <v>0.42899999999999999</v>
      </c>
      <c r="D373" s="7">
        <v>0.7</v>
      </c>
      <c r="E373" s="7">
        <v>0.75</v>
      </c>
      <c r="F373" s="7">
        <v>0.8</v>
      </c>
      <c r="G373" s="8">
        <f t="shared" si="18"/>
        <v>1</v>
      </c>
      <c r="H373" s="8">
        <f t="shared" si="19"/>
        <v>1.1500000000000001</v>
      </c>
      <c r="I373" s="8">
        <f t="shared" si="20"/>
        <v>1.5</v>
      </c>
    </row>
    <row r="374" spans="1:9">
      <c r="A374" s="2" t="s">
        <v>375</v>
      </c>
      <c r="B374" s="3">
        <v>22.6</v>
      </c>
      <c r="C374" s="4">
        <v>0.42899999999999999</v>
      </c>
      <c r="D374" s="7">
        <v>0.7</v>
      </c>
      <c r="E374" s="7">
        <v>0.75</v>
      </c>
      <c r="F374" s="7">
        <v>0.8</v>
      </c>
      <c r="G374" s="8">
        <f t="shared" si="18"/>
        <v>1</v>
      </c>
      <c r="H374" s="8">
        <f t="shared" si="19"/>
        <v>1.1500000000000001</v>
      </c>
      <c r="I374" s="8">
        <f t="shared" si="20"/>
        <v>1.5</v>
      </c>
    </row>
    <row r="375" spans="1:9">
      <c r="A375" s="2" t="s">
        <v>376</v>
      </c>
      <c r="B375" s="3">
        <v>14.57</v>
      </c>
      <c r="C375" s="4">
        <v>0.46899999999999997</v>
      </c>
      <c r="D375" s="7">
        <v>0.7</v>
      </c>
      <c r="E375" s="7">
        <v>0.75</v>
      </c>
      <c r="F375" s="7">
        <v>0.8</v>
      </c>
      <c r="G375" s="8">
        <f t="shared" si="18"/>
        <v>1</v>
      </c>
      <c r="H375" s="8">
        <f t="shared" si="19"/>
        <v>1.1500000000000001</v>
      </c>
      <c r="I375" s="8">
        <f t="shared" si="20"/>
        <v>1.5</v>
      </c>
    </row>
    <row r="376" spans="1:9">
      <c r="A376" s="2" t="s">
        <v>377</v>
      </c>
      <c r="B376" s="3">
        <v>18.2</v>
      </c>
      <c r="C376" s="4">
        <v>0.46899999999999997</v>
      </c>
      <c r="D376" s="7">
        <v>0.7</v>
      </c>
      <c r="E376" s="7">
        <v>0.75</v>
      </c>
      <c r="F376" s="7">
        <v>0.8</v>
      </c>
      <c r="G376" s="8">
        <f t="shared" si="18"/>
        <v>1</v>
      </c>
      <c r="H376" s="8">
        <f t="shared" si="19"/>
        <v>1.1500000000000001</v>
      </c>
      <c r="I376" s="8">
        <f t="shared" si="20"/>
        <v>1.5</v>
      </c>
    </row>
    <row r="377" spans="1:9">
      <c r="A377" s="2" t="s">
        <v>378</v>
      </c>
      <c r="B377" s="3">
        <v>19.899999999999999</v>
      </c>
      <c r="C377" s="4">
        <v>0.46899999999999997</v>
      </c>
      <c r="G377" s="8">
        <f t="shared" si="18"/>
        <v>0</v>
      </c>
      <c r="H377" s="8">
        <f t="shared" si="19"/>
        <v>0</v>
      </c>
      <c r="I377" s="8">
        <f t="shared" si="20"/>
        <v>0</v>
      </c>
    </row>
    <row r="378" spans="1:9">
      <c r="A378" s="2" t="s">
        <v>379</v>
      </c>
      <c r="B378" s="3">
        <v>21.6</v>
      </c>
      <c r="C378" s="4">
        <v>0.46899999999999997</v>
      </c>
      <c r="D378" s="7">
        <v>0.7</v>
      </c>
      <c r="E378" s="7">
        <v>0.75</v>
      </c>
      <c r="F378" s="7">
        <v>0.8</v>
      </c>
      <c r="G378" s="8">
        <f t="shared" si="18"/>
        <v>1</v>
      </c>
      <c r="H378" s="8">
        <f t="shared" si="19"/>
        <v>1.1500000000000001</v>
      </c>
      <c r="I378" s="8">
        <f t="shared" si="20"/>
        <v>1.5</v>
      </c>
    </row>
    <row r="379" spans="1:9">
      <c r="A379" s="2" t="s">
        <v>380</v>
      </c>
      <c r="B379" s="3">
        <v>23.3</v>
      </c>
      <c r="C379" s="4">
        <v>0.46899999999999997</v>
      </c>
      <c r="G379" s="8">
        <f t="shared" si="18"/>
        <v>0</v>
      </c>
      <c r="H379" s="8">
        <f t="shared" si="19"/>
        <v>0</v>
      </c>
      <c r="I379" s="8">
        <f t="shared" si="20"/>
        <v>0</v>
      </c>
    </row>
    <row r="380" spans="1:9">
      <c r="A380" s="2" t="s">
        <v>381</v>
      </c>
      <c r="B380" s="3">
        <v>26.6</v>
      </c>
      <c r="C380" s="4">
        <v>0.46899999999999997</v>
      </c>
      <c r="D380" s="7">
        <v>0.7</v>
      </c>
      <c r="E380" s="7">
        <v>0.75</v>
      </c>
      <c r="F380" s="7">
        <v>0.8</v>
      </c>
      <c r="G380" s="8">
        <f t="shared" si="18"/>
        <v>1</v>
      </c>
      <c r="H380" s="8">
        <f t="shared" si="19"/>
        <v>1.1500000000000001</v>
      </c>
      <c r="I380" s="8">
        <f t="shared" si="20"/>
        <v>1.5</v>
      </c>
    </row>
    <row r="381" spans="1:9">
      <c r="A381" s="2" t="s">
        <v>382</v>
      </c>
      <c r="B381" s="3">
        <v>23.5</v>
      </c>
      <c r="C381" s="4">
        <v>0.50800000000000001</v>
      </c>
      <c r="D381" s="7">
        <v>0.75</v>
      </c>
      <c r="E381" s="7">
        <v>0.8</v>
      </c>
      <c r="F381" s="7">
        <v>0.85</v>
      </c>
      <c r="G381" s="8">
        <f t="shared" si="18"/>
        <v>1.05</v>
      </c>
      <c r="H381" s="8">
        <f t="shared" si="19"/>
        <v>1.2000000000000002</v>
      </c>
      <c r="I381" s="8">
        <f t="shared" si="20"/>
        <v>1.6</v>
      </c>
    </row>
    <row r="382" spans="1:9">
      <c r="A382" s="2" t="s">
        <v>383</v>
      </c>
      <c r="B382" s="3">
        <v>21.4</v>
      </c>
      <c r="C382" s="4">
        <v>0.54700000000000004</v>
      </c>
      <c r="G382" s="8">
        <f t="shared" si="18"/>
        <v>0</v>
      </c>
      <c r="H382" s="8">
        <f t="shared" si="19"/>
        <v>0</v>
      </c>
      <c r="I382" s="8">
        <f t="shared" si="20"/>
        <v>0</v>
      </c>
    </row>
    <row r="383" spans="1:9">
      <c r="A383" s="2" t="s">
        <v>384</v>
      </c>
      <c r="B383" s="3">
        <v>27.4</v>
      </c>
      <c r="C383" s="4">
        <v>0.54700000000000004</v>
      </c>
      <c r="G383" s="8">
        <f t="shared" si="18"/>
        <v>0</v>
      </c>
      <c r="H383" s="8">
        <f t="shared" si="19"/>
        <v>0</v>
      </c>
      <c r="I383" s="8">
        <f t="shared" si="20"/>
        <v>0</v>
      </c>
    </row>
    <row r="384" spans="1:9">
      <c r="A384" s="2" t="s">
        <v>385</v>
      </c>
      <c r="B384" s="3">
        <v>23</v>
      </c>
      <c r="C384" s="4">
        <v>0.58599999999999997</v>
      </c>
      <c r="D384" s="7">
        <v>0.8</v>
      </c>
      <c r="E384" s="7">
        <v>0.85</v>
      </c>
      <c r="F384" s="7">
        <v>0.9</v>
      </c>
      <c r="G384" s="8">
        <f t="shared" si="18"/>
        <v>1.1000000000000001</v>
      </c>
      <c r="H384" s="8">
        <f t="shared" si="19"/>
        <v>1.3</v>
      </c>
      <c r="I384" s="8">
        <f t="shared" si="20"/>
        <v>1.7000000000000002</v>
      </c>
    </row>
    <row r="385" spans="1:9">
      <c r="A385" s="2" t="s">
        <v>386</v>
      </c>
      <c r="B385" s="3">
        <v>27.3</v>
      </c>
      <c r="C385" s="4">
        <v>0.58599999999999997</v>
      </c>
      <c r="D385" s="7">
        <v>0.8</v>
      </c>
      <c r="E385" s="7">
        <v>0.85</v>
      </c>
      <c r="F385" s="7">
        <v>0.9</v>
      </c>
      <c r="G385" s="8">
        <f t="shared" si="18"/>
        <v>1.1000000000000001</v>
      </c>
      <c r="H385" s="8">
        <f t="shared" si="19"/>
        <v>1.3</v>
      </c>
      <c r="I385" s="8">
        <f t="shared" si="20"/>
        <v>1.7000000000000002</v>
      </c>
    </row>
    <row r="386" spans="1:9">
      <c r="A386" s="2" t="s">
        <v>387</v>
      </c>
      <c r="B386" s="3">
        <v>31.6</v>
      </c>
      <c r="C386" s="4">
        <v>0.58599999999999997</v>
      </c>
      <c r="D386" s="9">
        <v>0.8</v>
      </c>
      <c r="E386" s="9">
        <v>0.85</v>
      </c>
      <c r="F386" s="9">
        <v>0.9</v>
      </c>
      <c r="G386" s="8">
        <f t="shared" ref="G386:G449" si="21">MROUND($E386*1.3,0.05)</f>
        <v>1.1000000000000001</v>
      </c>
      <c r="H386" s="8">
        <f t="shared" ref="H386:H449" si="22">MROUND($E386*1.5,0.05)</f>
        <v>1.3</v>
      </c>
      <c r="I386" s="8">
        <f t="shared" ref="I386:I449" si="23">MROUND($E386*2,0.05)</f>
        <v>1.7000000000000002</v>
      </c>
    </row>
    <row r="387" spans="1:9">
      <c r="A387" s="2" t="s">
        <v>388</v>
      </c>
      <c r="B387" s="3">
        <v>33.799999999999997</v>
      </c>
      <c r="C387" s="4">
        <v>0.58599999999999997</v>
      </c>
      <c r="D387" s="7">
        <v>0.8</v>
      </c>
      <c r="E387" s="7">
        <v>0.85</v>
      </c>
      <c r="F387" s="7">
        <v>0.9</v>
      </c>
      <c r="G387" s="8">
        <f t="shared" si="21"/>
        <v>1.1000000000000001</v>
      </c>
      <c r="H387" s="8">
        <f t="shared" si="22"/>
        <v>1.3</v>
      </c>
      <c r="I387" s="8">
        <f t="shared" si="23"/>
        <v>1.7000000000000002</v>
      </c>
    </row>
    <row r="388" spans="1:9">
      <c r="A388" s="2" t="s">
        <v>389</v>
      </c>
      <c r="B388" s="3">
        <v>40.1</v>
      </c>
      <c r="C388" s="4">
        <v>0.58599999999999997</v>
      </c>
      <c r="D388" s="9">
        <v>0.8</v>
      </c>
      <c r="E388" s="9">
        <v>0.85</v>
      </c>
      <c r="F388" s="9">
        <v>0.9</v>
      </c>
      <c r="G388" s="8">
        <f t="shared" si="21"/>
        <v>1.1000000000000001</v>
      </c>
      <c r="H388" s="8">
        <f t="shared" si="22"/>
        <v>1.3</v>
      </c>
      <c r="I388" s="8">
        <f t="shared" si="23"/>
        <v>1.7000000000000002</v>
      </c>
    </row>
    <row r="389" spans="1:9">
      <c r="A389" s="2" t="s">
        <v>390</v>
      </c>
      <c r="B389" s="3">
        <v>33.9</v>
      </c>
      <c r="C389" s="4">
        <v>0.625</v>
      </c>
      <c r="G389" s="8">
        <f t="shared" si="21"/>
        <v>0</v>
      </c>
      <c r="H389" s="8">
        <f t="shared" si="22"/>
        <v>0</v>
      </c>
      <c r="I389" s="8">
        <f t="shared" si="23"/>
        <v>0</v>
      </c>
    </row>
    <row r="390" spans="1:9">
      <c r="A390" s="2" t="s">
        <v>391</v>
      </c>
      <c r="B390" s="3">
        <v>36.200000000000003</v>
      </c>
      <c r="C390" s="4">
        <v>0.625</v>
      </c>
      <c r="D390" s="7">
        <v>0.8</v>
      </c>
      <c r="E390" s="7">
        <v>0.85</v>
      </c>
      <c r="F390" s="7">
        <v>0.9</v>
      </c>
      <c r="G390" s="8">
        <f t="shared" si="21"/>
        <v>1.1000000000000001</v>
      </c>
      <c r="H390" s="8">
        <f t="shared" si="22"/>
        <v>1.3</v>
      </c>
      <c r="I390" s="8">
        <f t="shared" si="23"/>
        <v>1.7000000000000002</v>
      </c>
    </row>
    <row r="391" spans="1:9">
      <c r="A391" s="2" t="s">
        <v>392</v>
      </c>
      <c r="B391" s="3">
        <v>38.4</v>
      </c>
      <c r="C391" s="4">
        <v>0.625</v>
      </c>
      <c r="G391" s="8">
        <f t="shared" si="21"/>
        <v>0</v>
      </c>
      <c r="H391" s="8">
        <f t="shared" si="22"/>
        <v>0</v>
      </c>
      <c r="I391" s="8">
        <f t="shared" si="23"/>
        <v>0</v>
      </c>
    </row>
    <row r="392" spans="1:9">
      <c r="A392" s="2" t="s">
        <v>393</v>
      </c>
      <c r="B392" s="3">
        <v>40.700000000000003</v>
      </c>
      <c r="C392" s="4">
        <v>0.625</v>
      </c>
      <c r="D392" s="9">
        <v>0.8</v>
      </c>
      <c r="E392" s="9">
        <v>0.85</v>
      </c>
      <c r="F392" s="9">
        <v>0.9</v>
      </c>
      <c r="G392" s="8">
        <f t="shared" si="21"/>
        <v>1.1000000000000001</v>
      </c>
      <c r="H392" s="8">
        <f t="shared" si="22"/>
        <v>1.3</v>
      </c>
      <c r="I392" s="8">
        <f t="shared" si="23"/>
        <v>1.7000000000000002</v>
      </c>
    </row>
    <row r="393" spans="1:9">
      <c r="A393" s="2" t="s">
        <v>394</v>
      </c>
      <c r="B393" s="3">
        <v>35.700000000000003</v>
      </c>
      <c r="C393" s="4">
        <v>0.70499999999999996</v>
      </c>
      <c r="G393" s="8">
        <f t="shared" si="21"/>
        <v>0</v>
      </c>
      <c r="H393" s="8">
        <f t="shared" si="22"/>
        <v>0</v>
      </c>
      <c r="I393" s="8">
        <f t="shared" si="23"/>
        <v>0</v>
      </c>
    </row>
    <row r="394" spans="1:9">
      <c r="A394" s="2" t="s">
        <v>395</v>
      </c>
      <c r="B394" s="3">
        <v>38.299999999999997</v>
      </c>
      <c r="C394" s="4">
        <v>0.70499999999999996</v>
      </c>
      <c r="G394" s="8">
        <f t="shared" si="21"/>
        <v>0</v>
      </c>
      <c r="H394" s="8">
        <f t="shared" si="22"/>
        <v>0</v>
      </c>
      <c r="I394" s="8">
        <f t="shared" si="23"/>
        <v>0</v>
      </c>
    </row>
    <row r="395" spans="1:9">
      <c r="A395" s="2" t="s">
        <v>396</v>
      </c>
      <c r="B395" s="3">
        <v>40.9</v>
      </c>
      <c r="C395" s="4">
        <v>0.70499999999999996</v>
      </c>
      <c r="G395" s="8">
        <f t="shared" si="21"/>
        <v>0</v>
      </c>
      <c r="H395" s="8">
        <f t="shared" si="22"/>
        <v>0</v>
      </c>
      <c r="I395" s="8">
        <f t="shared" si="23"/>
        <v>0</v>
      </c>
    </row>
    <row r="396" spans="1:9">
      <c r="A396" s="2" t="s">
        <v>397</v>
      </c>
      <c r="B396" s="3">
        <v>43.5</v>
      </c>
      <c r="C396" s="4">
        <v>0.70499999999999996</v>
      </c>
      <c r="D396" s="9">
        <v>1.1000000000000001</v>
      </c>
      <c r="E396" s="9">
        <v>1.1499999999999999</v>
      </c>
      <c r="F396" s="9">
        <v>1</v>
      </c>
      <c r="G396" s="8">
        <f t="shared" si="21"/>
        <v>1.5</v>
      </c>
      <c r="H396" s="8">
        <f t="shared" si="22"/>
        <v>1.7000000000000002</v>
      </c>
      <c r="I396" s="8">
        <f t="shared" si="23"/>
        <v>2.3000000000000003</v>
      </c>
    </row>
    <row r="397" spans="1:9">
      <c r="A397" s="2" t="s">
        <v>398</v>
      </c>
      <c r="B397" s="3">
        <v>46</v>
      </c>
      <c r="C397" s="4">
        <v>0.70499999999999996</v>
      </c>
      <c r="G397" s="8">
        <f t="shared" si="21"/>
        <v>0</v>
      </c>
      <c r="H397" s="8">
        <f t="shared" si="22"/>
        <v>0</v>
      </c>
      <c r="I397" s="8">
        <f t="shared" si="23"/>
        <v>0</v>
      </c>
    </row>
    <row r="398" spans="1:9">
      <c r="A398" s="2" t="s">
        <v>399</v>
      </c>
      <c r="B398" s="3">
        <v>48.6</v>
      </c>
      <c r="C398" s="4">
        <v>0.70499999999999996</v>
      </c>
      <c r="D398" s="9">
        <v>1.1000000000000001</v>
      </c>
      <c r="E398" s="9">
        <v>1.1499999999999999</v>
      </c>
      <c r="F398" s="9">
        <v>1</v>
      </c>
      <c r="G398" s="8">
        <f t="shared" si="21"/>
        <v>1.5</v>
      </c>
      <c r="H398" s="8">
        <f t="shared" si="22"/>
        <v>1.7000000000000002</v>
      </c>
      <c r="I398" s="8">
        <f t="shared" si="23"/>
        <v>2.3000000000000003</v>
      </c>
    </row>
    <row r="399" spans="1:9">
      <c r="A399" s="2" t="s">
        <v>400</v>
      </c>
      <c r="B399" s="3">
        <v>51.1</v>
      </c>
      <c r="C399" s="4">
        <v>0.70499999999999996</v>
      </c>
      <c r="G399" s="8">
        <f t="shared" si="21"/>
        <v>0</v>
      </c>
      <c r="H399" s="8">
        <f t="shared" si="22"/>
        <v>0</v>
      </c>
      <c r="I399" s="8">
        <f t="shared" si="23"/>
        <v>0</v>
      </c>
    </row>
    <row r="400" spans="1:9">
      <c r="A400" s="2" t="s">
        <v>401</v>
      </c>
      <c r="B400" s="3">
        <v>53.7</v>
      </c>
      <c r="C400" s="4">
        <v>0.70499999999999996</v>
      </c>
      <c r="G400" s="8">
        <f t="shared" si="21"/>
        <v>0</v>
      </c>
      <c r="H400" s="8">
        <f t="shared" si="22"/>
        <v>0</v>
      </c>
      <c r="I400" s="8">
        <f t="shared" si="23"/>
        <v>0</v>
      </c>
    </row>
    <row r="401" spans="1:9">
      <c r="A401" s="2" t="s">
        <v>402</v>
      </c>
      <c r="B401" s="3">
        <v>45.6</v>
      </c>
      <c r="C401" s="4">
        <v>0.78500000000000003</v>
      </c>
      <c r="G401" s="8">
        <f t="shared" si="21"/>
        <v>0</v>
      </c>
      <c r="H401" s="8">
        <f t="shared" si="22"/>
        <v>0</v>
      </c>
      <c r="I401" s="8">
        <f t="shared" si="23"/>
        <v>0</v>
      </c>
    </row>
    <row r="402" spans="1:9">
      <c r="A402" s="2" t="s">
        <v>403</v>
      </c>
      <c r="B402" s="3">
        <v>48.5</v>
      </c>
      <c r="C402" s="4">
        <v>0.78500000000000003</v>
      </c>
      <c r="D402" s="7">
        <v>1.1000000000000001</v>
      </c>
      <c r="E402" s="7">
        <v>1.1499999999999999</v>
      </c>
      <c r="F402" s="7">
        <v>1</v>
      </c>
      <c r="G402" s="8">
        <f t="shared" si="21"/>
        <v>1.5</v>
      </c>
      <c r="H402" s="8">
        <f t="shared" si="22"/>
        <v>1.7000000000000002</v>
      </c>
      <c r="I402" s="8">
        <f t="shared" si="23"/>
        <v>2.3000000000000003</v>
      </c>
    </row>
    <row r="403" spans="1:9">
      <c r="A403" s="2" t="s">
        <v>404</v>
      </c>
      <c r="B403" s="3">
        <v>51.4</v>
      </c>
      <c r="C403" s="4">
        <v>0.78500000000000003</v>
      </c>
      <c r="G403" s="8">
        <f t="shared" si="21"/>
        <v>0</v>
      </c>
      <c r="H403" s="8">
        <f t="shared" si="22"/>
        <v>0</v>
      </c>
      <c r="I403" s="8">
        <f t="shared" si="23"/>
        <v>0</v>
      </c>
    </row>
    <row r="404" spans="1:9">
      <c r="A404" s="2" t="s">
        <v>405</v>
      </c>
      <c r="B404" s="3">
        <v>54.3</v>
      </c>
      <c r="C404" s="4">
        <v>0.78500000000000003</v>
      </c>
      <c r="D404" s="7">
        <v>1.1499999999999999</v>
      </c>
      <c r="E404" s="7">
        <v>1.2</v>
      </c>
      <c r="F404" s="7">
        <v>1.25</v>
      </c>
      <c r="G404" s="8">
        <f t="shared" si="21"/>
        <v>1.55</v>
      </c>
      <c r="H404" s="8">
        <f t="shared" si="22"/>
        <v>1.8</v>
      </c>
      <c r="I404" s="8">
        <f t="shared" si="23"/>
        <v>2.4000000000000004</v>
      </c>
    </row>
    <row r="405" spans="1:9">
      <c r="A405" s="2" t="s">
        <v>406</v>
      </c>
      <c r="B405" s="3">
        <v>57.1</v>
      </c>
      <c r="C405" s="4">
        <v>0.78500000000000003</v>
      </c>
      <c r="G405" s="8">
        <f t="shared" si="21"/>
        <v>0</v>
      </c>
      <c r="H405" s="8">
        <f t="shared" si="22"/>
        <v>0</v>
      </c>
      <c r="I405" s="8">
        <f t="shared" si="23"/>
        <v>0</v>
      </c>
    </row>
    <row r="406" spans="1:9">
      <c r="A406" s="2" t="s">
        <v>407</v>
      </c>
      <c r="B406" s="3">
        <v>59.9</v>
      </c>
      <c r="C406" s="4">
        <v>0.78500000000000003</v>
      </c>
      <c r="D406" s="7">
        <v>1.2</v>
      </c>
      <c r="E406" s="7">
        <v>1.25</v>
      </c>
      <c r="F406" s="7">
        <v>1.3</v>
      </c>
      <c r="G406" s="8">
        <f t="shared" si="21"/>
        <v>1.6500000000000001</v>
      </c>
      <c r="H406" s="8">
        <f t="shared" si="22"/>
        <v>1.9000000000000001</v>
      </c>
      <c r="I406" s="8">
        <f t="shared" si="23"/>
        <v>2.5</v>
      </c>
    </row>
    <row r="407" spans="1:9">
      <c r="A407" s="2" t="s">
        <v>408</v>
      </c>
      <c r="B407" s="3">
        <v>62.8</v>
      </c>
      <c r="C407" s="4">
        <v>0.78500000000000003</v>
      </c>
      <c r="G407" s="8">
        <f t="shared" si="21"/>
        <v>0</v>
      </c>
      <c r="H407" s="8">
        <f t="shared" si="22"/>
        <v>0</v>
      </c>
      <c r="I407" s="8">
        <f t="shared" si="23"/>
        <v>0</v>
      </c>
    </row>
    <row r="408" spans="1:9">
      <c r="A408" s="2" t="s">
        <v>409</v>
      </c>
      <c r="B408" s="3">
        <v>65.599999999999994</v>
      </c>
      <c r="C408" s="4">
        <v>0.78500000000000003</v>
      </c>
      <c r="G408" s="8">
        <f t="shared" si="21"/>
        <v>0</v>
      </c>
      <c r="H408" s="8">
        <f t="shared" si="22"/>
        <v>0</v>
      </c>
      <c r="I408" s="8">
        <f t="shared" si="23"/>
        <v>0</v>
      </c>
    </row>
    <row r="409" spans="1:9">
      <c r="A409" s="2" t="s">
        <v>410</v>
      </c>
      <c r="B409" s="3">
        <v>68.3</v>
      </c>
      <c r="C409" s="4">
        <v>0.78500000000000003</v>
      </c>
      <c r="G409" s="8">
        <f t="shared" si="21"/>
        <v>0</v>
      </c>
      <c r="H409" s="8">
        <f t="shared" si="22"/>
        <v>0</v>
      </c>
      <c r="I409" s="8">
        <f t="shared" si="23"/>
        <v>0</v>
      </c>
    </row>
    <row r="410" spans="1:9">
      <c r="A410" s="2" t="s">
        <v>411</v>
      </c>
      <c r="B410" s="3">
        <v>71.099999999999994</v>
      </c>
      <c r="C410" s="4">
        <v>0.78500000000000003</v>
      </c>
      <c r="D410" s="9">
        <v>1.2</v>
      </c>
      <c r="E410" s="9">
        <v>1.25</v>
      </c>
      <c r="F410" s="9">
        <v>1.3</v>
      </c>
      <c r="G410" s="8">
        <f t="shared" si="21"/>
        <v>1.6500000000000001</v>
      </c>
      <c r="H410" s="8">
        <f t="shared" si="22"/>
        <v>1.9000000000000001</v>
      </c>
      <c r="I410" s="8">
        <f t="shared" si="23"/>
        <v>2.5</v>
      </c>
    </row>
    <row r="411" spans="1:9">
      <c r="A411" s="2" t="s">
        <v>412</v>
      </c>
      <c r="B411" s="3">
        <v>73.900000000000006</v>
      </c>
      <c r="C411" s="4">
        <v>0.78500000000000003</v>
      </c>
      <c r="G411" s="8">
        <f t="shared" si="21"/>
        <v>0</v>
      </c>
      <c r="H411" s="8">
        <f t="shared" si="22"/>
        <v>0</v>
      </c>
      <c r="I411" s="8">
        <f t="shared" si="23"/>
        <v>0</v>
      </c>
    </row>
    <row r="412" spans="1:9">
      <c r="A412" s="2" t="s">
        <v>413</v>
      </c>
      <c r="B412" s="3">
        <v>76.599999999999994</v>
      </c>
      <c r="C412" s="4">
        <v>0.78500000000000003</v>
      </c>
      <c r="G412" s="8">
        <f t="shared" si="21"/>
        <v>0</v>
      </c>
      <c r="H412" s="8">
        <f t="shared" si="22"/>
        <v>0</v>
      </c>
      <c r="I412" s="8">
        <f t="shared" si="23"/>
        <v>0</v>
      </c>
    </row>
    <row r="413" spans="1:9">
      <c r="A413" s="2" t="s">
        <v>414</v>
      </c>
      <c r="B413" s="3">
        <v>75.599999999999994</v>
      </c>
      <c r="C413" s="4">
        <v>0.98499999999999999</v>
      </c>
      <c r="G413" s="8">
        <f t="shared" si="21"/>
        <v>0</v>
      </c>
      <c r="H413" s="8">
        <f t="shared" si="22"/>
        <v>0</v>
      </c>
      <c r="I413" s="8">
        <f t="shared" si="23"/>
        <v>0</v>
      </c>
    </row>
    <row r="414" spans="1:9">
      <c r="A414" s="2" t="s">
        <v>415</v>
      </c>
      <c r="B414" s="3">
        <v>79.2</v>
      </c>
      <c r="C414" s="4">
        <v>0.98499999999999999</v>
      </c>
      <c r="G414" s="8">
        <f t="shared" si="21"/>
        <v>0</v>
      </c>
      <c r="H414" s="8">
        <f t="shared" si="22"/>
        <v>0</v>
      </c>
      <c r="I414" s="8">
        <f t="shared" si="23"/>
        <v>0</v>
      </c>
    </row>
    <row r="415" spans="1:9">
      <c r="A415" s="2" t="s">
        <v>416</v>
      </c>
      <c r="B415" s="3">
        <v>82.8</v>
      </c>
      <c r="C415" s="4">
        <v>0.98499999999999999</v>
      </c>
      <c r="G415" s="8">
        <f t="shared" si="21"/>
        <v>0</v>
      </c>
      <c r="H415" s="8">
        <f t="shared" si="22"/>
        <v>0</v>
      </c>
      <c r="I415" s="8">
        <f t="shared" si="23"/>
        <v>0</v>
      </c>
    </row>
    <row r="416" spans="1:9">
      <c r="A416" s="2" t="s">
        <v>417</v>
      </c>
      <c r="B416" s="3">
        <v>86.4</v>
      </c>
      <c r="C416" s="4">
        <v>0.98499999999999999</v>
      </c>
      <c r="G416" s="8">
        <f t="shared" si="21"/>
        <v>0</v>
      </c>
      <c r="H416" s="8">
        <f t="shared" si="22"/>
        <v>0</v>
      </c>
      <c r="I416" s="8">
        <f t="shared" si="23"/>
        <v>0</v>
      </c>
    </row>
    <row r="417" spans="1:9">
      <c r="A417" s="2" t="s">
        <v>418</v>
      </c>
      <c r="B417" s="3">
        <v>90</v>
      </c>
      <c r="C417" s="4">
        <v>0.98499999999999999</v>
      </c>
      <c r="G417" s="8">
        <f t="shared" si="21"/>
        <v>0</v>
      </c>
      <c r="H417" s="8">
        <f t="shared" si="22"/>
        <v>0</v>
      </c>
      <c r="I417" s="8">
        <f t="shared" si="23"/>
        <v>0</v>
      </c>
    </row>
    <row r="418" spans="1:9">
      <c r="A418" s="2" t="s">
        <v>419</v>
      </c>
      <c r="B418" s="3">
        <v>93.5</v>
      </c>
      <c r="C418" s="4">
        <v>0.98499999999999999</v>
      </c>
      <c r="G418" s="8">
        <f t="shared" si="21"/>
        <v>0</v>
      </c>
      <c r="H418" s="8">
        <f t="shared" si="22"/>
        <v>0</v>
      </c>
      <c r="I418" s="8">
        <f t="shared" si="23"/>
        <v>0</v>
      </c>
    </row>
    <row r="419" spans="1:9">
      <c r="A419" s="2" t="s">
        <v>420</v>
      </c>
      <c r="B419" s="3">
        <v>97</v>
      </c>
      <c r="C419" s="4">
        <v>0.98499999999999999</v>
      </c>
      <c r="G419" s="8">
        <f t="shared" si="21"/>
        <v>0</v>
      </c>
      <c r="H419" s="8">
        <f t="shared" si="22"/>
        <v>0</v>
      </c>
      <c r="I419" s="8">
        <f t="shared" si="23"/>
        <v>0</v>
      </c>
    </row>
    <row r="420" spans="1:9">
      <c r="A420" s="2" t="s">
        <v>421</v>
      </c>
      <c r="B420" s="3">
        <v>100.5</v>
      </c>
      <c r="C420" s="4">
        <v>0.98499999999999999</v>
      </c>
      <c r="G420" s="8">
        <f t="shared" si="21"/>
        <v>0</v>
      </c>
      <c r="H420" s="8">
        <f t="shared" si="22"/>
        <v>0</v>
      </c>
      <c r="I420" s="8">
        <f t="shared" si="23"/>
        <v>0</v>
      </c>
    </row>
    <row r="421" spans="1:9">
      <c r="A421" s="2" t="s">
        <v>422</v>
      </c>
      <c r="B421" s="3">
        <v>104</v>
      </c>
      <c r="C421" s="4">
        <v>0.98499999999999999</v>
      </c>
      <c r="G421" s="8">
        <f t="shared" si="21"/>
        <v>0</v>
      </c>
      <c r="H421" s="8">
        <f t="shared" si="22"/>
        <v>0</v>
      </c>
      <c r="I421" s="8">
        <f t="shared" si="23"/>
        <v>0</v>
      </c>
    </row>
    <row r="422" spans="1:9">
      <c r="A422" s="2" t="s">
        <v>423</v>
      </c>
      <c r="B422" s="3">
        <v>5.71</v>
      </c>
      <c r="C422" s="4">
        <v>0.24</v>
      </c>
      <c r="D422" s="7">
        <v>0.6</v>
      </c>
      <c r="E422" s="7">
        <v>0.65</v>
      </c>
      <c r="F422" s="7">
        <v>0.7</v>
      </c>
      <c r="G422" s="8">
        <f t="shared" si="21"/>
        <v>0.85000000000000009</v>
      </c>
      <c r="H422" s="8">
        <f t="shared" si="22"/>
        <v>1</v>
      </c>
      <c r="I422" s="8">
        <f t="shared" si="23"/>
        <v>1.3</v>
      </c>
    </row>
    <row r="423" spans="1:9">
      <c r="A423" s="2" t="s">
        <v>424</v>
      </c>
      <c r="B423" s="3">
        <v>10.5</v>
      </c>
      <c r="C423" s="4">
        <v>0.35</v>
      </c>
      <c r="D423" s="7">
        <v>0.65</v>
      </c>
      <c r="E423" s="7">
        <v>0.7</v>
      </c>
      <c r="F423" s="7">
        <v>0.75</v>
      </c>
      <c r="G423" s="8">
        <f t="shared" si="21"/>
        <v>0.9</v>
      </c>
      <c r="H423" s="8">
        <f t="shared" si="22"/>
        <v>1.05</v>
      </c>
      <c r="I423" s="8">
        <f t="shared" si="23"/>
        <v>1.4000000000000001</v>
      </c>
    </row>
    <row r="424" spans="1:9">
      <c r="A424" s="2" t="s">
        <v>425</v>
      </c>
      <c r="B424" s="3">
        <v>12.2</v>
      </c>
      <c r="C424" s="4">
        <v>0.39100000000000001</v>
      </c>
      <c r="G424" s="8">
        <f t="shared" si="21"/>
        <v>0</v>
      </c>
      <c r="H424" s="8">
        <f t="shared" si="22"/>
        <v>0</v>
      </c>
      <c r="I424" s="8">
        <f t="shared" si="23"/>
        <v>0</v>
      </c>
    </row>
    <row r="425" spans="1:9">
      <c r="A425" s="2" t="s">
        <v>426</v>
      </c>
      <c r="B425" s="3">
        <v>15</v>
      </c>
      <c r="C425" s="4">
        <v>0.39100000000000001</v>
      </c>
      <c r="G425" s="8">
        <f t="shared" si="21"/>
        <v>0</v>
      </c>
      <c r="H425" s="8">
        <f t="shared" si="22"/>
        <v>0</v>
      </c>
      <c r="I425" s="8">
        <f t="shared" si="23"/>
        <v>0</v>
      </c>
    </row>
    <row r="426" spans="1:9">
      <c r="A426" s="2" t="s">
        <v>427</v>
      </c>
      <c r="B426" s="3">
        <v>17.8</v>
      </c>
      <c r="C426" s="4">
        <v>0.39100000000000001</v>
      </c>
      <c r="G426" s="8">
        <f t="shared" si="21"/>
        <v>0</v>
      </c>
      <c r="H426" s="8">
        <f t="shared" si="22"/>
        <v>0</v>
      </c>
      <c r="I426" s="8">
        <f t="shared" si="23"/>
        <v>0</v>
      </c>
    </row>
    <row r="427" spans="1:9">
      <c r="A427" s="2" t="s">
        <v>428</v>
      </c>
      <c r="B427" s="3">
        <v>11.8</v>
      </c>
      <c r="C427" s="4">
        <v>0.38100000000000001</v>
      </c>
      <c r="G427" s="8">
        <f t="shared" si="21"/>
        <v>0</v>
      </c>
      <c r="H427" s="8">
        <f t="shared" si="22"/>
        <v>0</v>
      </c>
      <c r="I427" s="8">
        <f t="shared" si="23"/>
        <v>0</v>
      </c>
    </row>
    <row r="428" spans="1:9">
      <c r="A428" s="2" t="s">
        <v>429</v>
      </c>
      <c r="B428" s="3">
        <v>14.6</v>
      </c>
      <c r="C428" s="4">
        <v>0.38100000000000001</v>
      </c>
      <c r="G428" s="8">
        <f t="shared" si="21"/>
        <v>0</v>
      </c>
      <c r="H428" s="8">
        <f t="shared" si="22"/>
        <v>0</v>
      </c>
      <c r="I428" s="8">
        <f t="shared" si="23"/>
        <v>0</v>
      </c>
    </row>
    <row r="429" spans="1:9">
      <c r="A429" s="2" t="s">
        <v>430</v>
      </c>
      <c r="B429" s="3">
        <v>18.2</v>
      </c>
      <c r="C429" s="4">
        <v>0.47</v>
      </c>
      <c r="G429" s="8">
        <f t="shared" si="21"/>
        <v>0</v>
      </c>
      <c r="H429" s="8">
        <f t="shared" si="22"/>
        <v>0</v>
      </c>
      <c r="I429" s="8">
        <f t="shared" si="23"/>
        <v>0</v>
      </c>
    </row>
    <row r="430" spans="1:9">
      <c r="A430" s="2" t="s">
        <v>431</v>
      </c>
      <c r="B430" s="3">
        <v>19.899999999999999</v>
      </c>
      <c r="C430" s="4">
        <v>0.47</v>
      </c>
      <c r="G430" s="8">
        <f t="shared" si="21"/>
        <v>0</v>
      </c>
      <c r="H430" s="8">
        <f t="shared" si="22"/>
        <v>0</v>
      </c>
      <c r="I430" s="8">
        <f t="shared" si="23"/>
        <v>0</v>
      </c>
    </row>
    <row r="431" spans="1:9">
      <c r="A431" s="2" t="s">
        <v>432</v>
      </c>
      <c r="B431" s="3">
        <v>19</v>
      </c>
      <c r="C431" s="4">
        <v>0.49</v>
      </c>
      <c r="D431" s="7">
        <v>0.75</v>
      </c>
      <c r="E431" s="7">
        <v>0.8</v>
      </c>
      <c r="F431" s="7">
        <v>0.85</v>
      </c>
      <c r="G431" s="8">
        <f t="shared" si="21"/>
        <v>1.05</v>
      </c>
      <c r="H431" s="8">
        <f t="shared" si="22"/>
        <v>1.2000000000000002</v>
      </c>
      <c r="I431" s="8">
        <f t="shared" si="23"/>
        <v>1.6</v>
      </c>
    </row>
    <row r="432" spans="1:9">
      <c r="A432" s="2" t="s">
        <v>433</v>
      </c>
      <c r="B432" s="3">
        <v>22.5</v>
      </c>
      <c r="C432" s="4">
        <v>0.49</v>
      </c>
      <c r="D432" s="7">
        <v>0.75</v>
      </c>
      <c r="E432" s="7">
        <v>0.8</v>
      </c>
      <c r="F432" s="7">
        <v>0.85</v>
      </c>
      <c r="G432" s="8">
        <f t="shared" si="21"/>
        <v>1.05</v>
      </c>
      <c r="H432" s="8">
        <f t="shared" si="22"/>
        <v>1.2000000000000002</v>
      </c>
      <c r="I432" s="8">
        <f t="shared" si="23"/>
        <v>1.6</v>
      </c>
    </row>
    <row r="433" spans="1:9">
      <c r="A433" s="2" t="s">
        <v>434</v>
      </c>
      <c r="B433" s="3">
        <v>26.1</v>
      </c>
      <c r="C433" s="4">
        <v>0.49</v>
      </c>
      <c r="G433" s="8">
        <f t="shared" si="21"/>
        <v>0</v>
      </c>
      <c r="H433" s="8">
        <f t="shared" si="22"/>
        <v>0</v>
      </c>
      <c r="I433" s="8">
        <f t="shared" si="23"/>
        <v>0</v>
      </c>
    </row>
    <row r="434" spans="1:9">
      <c r="A434" s="2" t="s">
        <v>435</v>
      </c>
      <c r="B434" s="3">
        <v>18.2</v>
      </c>
      <c r="C434" s="4">
        <v>0.46899999999999997</v>
      </c>
      <c r="G434" s="8">
        <f t="shared" si="21"/>
        <v>0</v>
      </c>
      <c r="H434" s="8">
        <f t="shared" si="22"/>
        <v>0</v>
      </c>
      <c r="I434" s="8">
        <f t="shared" si="23"/>
        <v>0</v>
      </c>
    </row>
    <row r="435" spans="1:9">
      <c r="A435" s="2" t="s">
        <v>436</v>
      </c>
      <c r="B435" s="3">
        <v>21.6</v>
      </c>
      <c r="C435" s="4">
        <v>0.46899999999999997</v>
      </c>
      <c r="G435" s="8">
        <f t="shared" si="21"/>
        <v>0</v>
      </c>
      <c r="H435" s="8">
        <f t="shared" si="22"/>
        <v>0</v>
      </c>
      <c r="I435" s="8">
        <f t="shared" si="23"/>
        <v>0</v>
      </c>
    </row>
    <row r="436" spans="1:9">
      <c r="A436" s="2" t="s">
        <v>437</v>
      </c>
      <c r="B436" s="3">
        <v>23</v>
      </c>
      <c r="C436" s="4">
        <v>0.58699999999999997</v>
      </c>
      <c r="G436" s="8">
        <f t="shared" si="21"/>
        <v>0</v>
      </c>
      <c r="H436" s="8">
        <f t="shared" si="22"/>
        <v>0</v>
      </c>
      <c r="I436" s="8">
        <f t="shared" si="23"/>
        <v>0</v>
      </c>
    </row>
    <row r="437" spans="1:9">
      <c r="A437" s="2" t="s">
        <v>438</v>
      </c>
      <c r="B437" s="3">
        <v>27.3</v>
      </c>
      <c r="C437" s="4">
        <v>0.58699999999999997</v>
      </c>
      <c r="G437" s="8">
        <f t="shared" si="21"/>
        <v>0</v>
      </c>
      <c r="H437" s="8">
        <f t="shared" si="22"/>
        <v>0</v>
      </c>
      <c r="I437" s="8">
        <f t="shared" si="23"/>
        <v>0</v>
      </c>
    </row>
    <row r="438" spans="1:9">
      <c r="A438" s="2" t="s">
        <v>439</v>
      </c>
      <c r="B438" s="3">
        <v>31.6</v>
      </c>
      <c r="C438" s="4">
        <v>0.58699999999999997</v>
      </c>
      <c r="G438" s="8">
        <f t="shared" si="21"/>
        <v>0</v>
      </c>
      <c r="H438" s="8">
        <f t="shared" si="22"/>
        <v>0</v>
      </c>
      <c r="I438" s="8">
        <f t="shared" si="23"/>
        <v>0</v>
      </c>
    </row>
    <row r="439" spans="1:9">
      <c r="A439" s="2" t="s">
        <v>440</v>
      </c>
      <c r="B439" s="3">
        <v>8</v>
      </c>
      <c r="C439" s="4">
        <v>2</v>
      </c>
      <c r="G439" s="8">
        <f t="shared" si="21"/>
        <v>0</v>
      </c>
      <c r="H439" s="8">
        <f t="shared" si="22"/>
        <v>0</v>
      </c>
      <c r="I439" s="8">
        <f t="shared" si="23"/>
        <v>0</v>
      </c>
    </row>
    <row r="440" spans="1:9">
      <c r="A440" s="2" t="s">
        <v>441</v>
      </c>
      <c r="B440" s="3">
        <v>16</v>
      </c>
      <c r="C440" s="4">
        <v>2</v>
      </c>
      <c r="G440" s="8">
        <f t="shared" si="21"/>
        <v>0</v>
      </c>
      <c r="H440" s="8">
        <f t="shared" si="22"/>
        <v>0</v>
      </c>
      <c r="I440" s="8">
        <f t="shared" si="23"/>
        <v>0</v>
      </c>
    </row>
    <row r="441" spans="1:9">
      <c r="A441" s="2" t="s">
        <v>442</v>
      </c>
      <c r="B441" s="3">
        <v>24</v>
      </c>
      <c r="C441" s="4">
        <v>2</v>
      </c>
      <c r="G441" s="8">
        <f t="shared" si="21"/>
        <v>0</v>
      </c>
      <c r="H441" s="8">
        <f t="shared" si="22"/>
        <v>0</v>
      </c>
      <c r="I441" s="8">
        <f t="shared" si="23"/>
        <v>0</v>
      </c>
    </row>
    <row r="442" spans="1:9">
      <c r="A442" s="2" t="s">
        <v>443</v>
      </c>
      <c r="B442" s="3">
        <v>32</v>
      </c>
      <c r="C442" s="4">
        <v>2</v>
      </c>
      <c r="G442" s="8">
        <f t="shared" si="21"/>
        <v>0</v>
      </c>
      <c r="H442" s="8">
        <f t="shared" si="22"/>
        <v>0</v>
      </c>
      <c r="I442" s="8">
        <f t="shared" si="23"/>
        <v>0</v>
      </c>
    </row>
    <row r="443" spans="1:9">
      <c r="A443" s="2" t="s">
        <v>444</v>
      </c>
      <c r="B443" s="3">
        <v>40</v>
      </c>
      <c r="C443" s="4">
        <v>2</v>
      </c>
      <c r="G443" s="8">
        <f t="shared" si="21"/>
        <v>0</v>
      </c>
      <c r="H443" s="8">
        <f t="shared" si="22"/>
        <v>0</v>
      </c>
      <c r="I443" s="8">
        <f t="shared" si="23"/>
        <v>0</v>
      </c>
    </row>
    <row r="444" spans="1:9">
      <c r="A444" s="2" t="s">
        <v>445</v>
      </c>
      <c r="B444" s="3">
        <v>48</v>
      </c>
      <c r="C444" s="4">
        <v>2</v>
      </c>
      <c r="G444" s="8">
        <f t="shared" si="21"/>
        <v>0</v>
      </c>
      <c r="H444" s="8">
        <f t="shared" si="22"/>
        <v>0</v>
      </c>
      <c r="I444" s="8">
        <f t="shared" si="23"/>
        <v>0</v>
      </c>
    </row>
    <row r="445" spans="1:9">
      <c r="A445" s="2" t="s">
        <v>446</v>
      </c>
      <c r="B445" s="3">
        <v>56</v>
      </c>
      <c r="C445" s="4">
        <v>2</v>
      </c>
      <c r="G445" s="8">
        <f t="shared" si="21"/>
        <v>0</v>
      </c>
      <c r="H445" s="8">
        <f t="shared" si="22"/>
        <v>0</v>
      </c>
      <c r="I445" s="8">
        <f t="shared" si="23"/>
        <v>0</v>
      </c>
    </row>
    <row r="446" spans="1:9">
      <c r="A446" s="2" t="s">
        <v>447</v>
      </c>
      <c r="B446" s="3">
        <v>64</v>
      </c>
      <c r="C446" s="4">
        <v>2</v>
      </c>
      <c r="G446" s="8">
        <f t="shared" si="21"/>
        <v>0</v>
      </c>
      <c r="H446" s="8">
        <f t="shared" si="22"/>
        <v>0</v>
      </c>
      <c r="I446" s="8">
        <f t="shared" si="23"/>
        <v>0</v>
      </c>
    </row>
    <row r="447" spans="1:9">
      <c r="A447" s="2" t="s">
        <v>448</v>
      </c>
      <c r="B447" s="3">
        <v>80</v>
      </c>
      <c r="C447" s="4">
        <v>2</v>
      </c>
      <c r="G447" s="8">
        <f t="shared" si="21"/>
        <v>0</v>
      </c>
      <c r="H447" s="8">
        <f t="shared" si="22"/>
        <v>0</v>
      </c>
      <c r="I447" s="8">
        <f t="shared" si="23"/>
        <v>0</v>
      </c>
    </row>
    <row r="448" spans="1:9">
      <c r="A448" s="2" t="s">
        <v>449</v>
      </c>
      <c r="B448" s="3">
        <v>96</v>
      </c>
      <c r="C448" s="4">
        <v>2</v>
      </c>
      <c r="G448" s="8">
        <f t="shared" si="21"/>
        <v>0</v>
      </c>
      <c r="H448" s="8">
        <f t="shared" si="22"/>
        <v>0</v>
      </c>
      <c r="I448" s="8">
        <f t="shared" si="23"/>
        <v>0</v>
      </c>
    </row>
    <row r="449" spans="1:9">
      <c r="A449" s="2" t="s">
        <v>450</v>
      </c>
      <c r="B449" s="3">
        <v>120</v>
      </c>
      <c r="C449" s="4">
        <v>2</v>
      </c>
      <c r="G449" s="8">
        <f t="shared" si="21"/>
        <v>0</v>
      </c>
      <c r="H449" s="8">
        <f t="shared" si="22"/>
        <v>0</v>
      </c>
      <c r="I449" s="8">
        <f t="shared" si="23"/>
        <v>0</v>
      </c>
    </row>
    <row r="450" spans="1:9">
      <c r="A450" s="2" t="s">
        <v>451</v>
      </c>
      <c r="B450" s="3">
        <v>144</v>
      </c>
      <c r="C450" s="4">
        <v>2</v>
      </c>
      <c r="G450" s="8">
        <f t="shared" ref="G450:G513" si="24">MROUND($E450*1.3,0.05)</f>
        <v>0</v>
      </c>
      <c r="H450" s="8">
        <f t="shared" ref="H450:H513" si="25">MROUND($E450*1.5,0.05)</f>
        <v>0</v>
      </c>
      <c r="I450" s="8">
        <f t="shared" ref="I450:I513" si="26">MROUND($E450*2,0.05)</f>
        <v>0</v>
      </c>
    </row>
    <row r="451" spans="1:9">
      <c r="A451" s="2" t="s">
        <v>452</v>
      </c>
      <c r="B451" s="3">
        <v>160</v>
      </c>
      <c r="C451" s="4">
        <v>2</v>
      </c>
      <c r="G451" s="8">
        <f t="shared" si="24"/>
        <v>0</v>
      </c>
      <c r="H451" s="8">
        <f t="shared" si="25"/>
        <v>0</v>
      </c>
      <c r="I451" s="8">
        <f t="shared" si="26"/>
        <v>0</v>
      </c>
    </row>
    <row r="452" spans="1:9">
      <c r="A452" s="2" t="s">
        <v>453</v>
      </c>
      <c r="B452" s="3">
        <v>200</v>
      </c>
      <c r="C452" s="4">
        <v>2</v>
      </c>
      <c r="G452" s="8">
        <f t="shared" si="24"/>
        <v>0</v>
      </c>
      <c r="H452" s="8">
        <f t="shared" si="25"/>
        <v>0</v>
      </c>
      <c r="I452" s="8">
        <f t="shared" si="26"/>
        <v>0</v>
      </c>
    </row>
    <row r="453" spans="1:9">
      <c r="A453" s="2" t="s">
        <v>454</v>
      </c>
      <c r="B453" s="3">
        <v>240</v>
      </c>
      <c r="C453" s="4">
        <v>2</v>
      </c>
      <c r="G453" s="8">
        <f t="shared" si="24"/>
        <v>0</v>
      </c>
      <c r="H453" s="8">
        <f t="shared" si="25"/>
        <v>0</v>
      </c>
      <c r="I453" s="8">
        <f t="shared" si="26"/>
        <v>0</v>
      </c>
    </row>
    <row r="454" spans="1:9">
      <c r="A454" s="2" t="s">
        <v>455</v>
      </c>
      <c r="B454" s="3">
        <v>280</v>
      </c>
      <c r="C454" s="4">
        <v>2</v>
      </c>
      <c r="G454" s="8">
        <f t="shared" si="24"/>
        <v>0</v>
      </c>
      <c r="H454" s="8">
        <f t="shared" si="25"/>
        <v>0</v>
      </c>
      <c r="I454" s="8">
        <f t="shared" si="26"/>
        <v>0</v>
      </c>
    </row>
    <row r="455" spans="1:9">
      <c r="A455" s="2" t="s">
        <v>456</v>
      </c>
      <c r="B455" s="3">
        <v>320</v>
      </c>
      <c r="C455" s="4">
        <v>2</v>
      </c>
      <c r="G455" s="8">
        <f t="shared" si="24"/>
        <v>0</v>
      </c>
      <c r="H455" s="8">
        <f t="shared" si="25"/>
        <v>0</v>
      </c>
      <c r="I455" s="8">
        <f t="shared" si="26"/>
        <v>0</v>
      </c>
    </row>
    <row r="456" spans="1:9">
      <c r="A456" s="2" t="s">
        <v>457</v>
      </c>
      <c r="B456" s="3">
        <v>360</v>
      </c>
      <c r="C456" s="4">
        <v>2</v>
      </c>
      <c r="G456" s="8">
        <f t="shared" si="24"/>
        <v>0</v>
      </c>
      <c r="H456" s="8">
        <f t="shared" si="25"/>
        <v>0</v>
      </c>
      <c r="I456" s="8">
        <f t="shared" si="26"/>
        <v>0</v>
      </c>
    </row>
    <row r="457" spans="1:9">
      <c r="A457" s="2" t="s">
        <v>458</v>
      </c>
      <c r="B457" s="3">
        <v>400</v>
      </c>
      <c r="C457" s="4">
        <v>2</v>
      </c>
      <c r="G457" s="8">
        <f t="shared" si="24"/>
        <v>0</v>
      </c>
      <c r="H457" s="8">
        <f t="shared" si="25"/>
        <v>0</v>
      </c>
      <c r="I457" s="8">
        <f t="shared" si="26"/>
        <v>0</v>
      </c>
    </row>
    <row r="458" spans="1:9">
      <c r="A458" s="2" t="s">
        <v>459</v>
      </c>
      <c r="B458" s="3">
        <v>2.0299999999999998</v>
      </c>
      <c r="C458" s="4">
        <v>0.106</v>
      </c>
      <c r="D458" s="7">
        <v>1.98</v>
      </c>
      <c r="E458" s="9">
        <v>0.9</v>
      </c>
      <c r="F458" s="9">
        <v>1.05</v>
      </c>
      <c r="G458" s="8">
        <f t="shared" si="24"/>
        <v>1.1500000000000001</v>
      </c>
      <c r="H458" s="8">
        <f t="shared" si="25"/>
        <v>1.35</v>
      </c>
      <c r="I458" s="8">
        <f t="shared" si="26"/>
        <v>1.8</v>
      </c>
    </row>
    <row r="459" spans="1:9">
      <c r="A459" s="2" t="s">
        <v>460</v>
      </c>
      <c r="B459" s="3">
        <v>2.6</v>
      </c>
      <c r="C459" s="4">
        <v>0.13300000000000001</v>
      </c>
      <c r="D459" s="7">
        <v>2.54</v>
      </c>
      <c r="E459" s="9">
        <v>0.9</v>
      </c>
      <c r="F459" s="9">
        <v>1.05</v>
      </c>
      <c r="G459" s="8">
        <f t="shared" si="24"/>
        <v>1.1500000000000001</v>
      </c>
      <c r="H459" s="8">
        <f t="shared" si="25"/>
        <v>1.35</v>
      </c>
      <c r="I459" s="8">
        <f t="shared" si="26"/>
        <v>1.8</v>
      </c>
    </row>
    <row r="460" spans="1:9">
      <c r="A460" s="2" t="s">
        <v>461</v>
      </c>
      <c r="B460" s="3">
        <v>3.09</v>
      </c>
      <c r="C460" s="4">
        <v>0.13300000000000001</v>
      </c>
      <c r="D460" s="9">
        <v>0.75</v>
      </c>
      <c r="E460" s="9">
        <v>0.9</v>
      </c>
      <c r="F460" s="9">
        <v>1.05</v>
      </c>
      <c r="G460" s="8">
        <f t="shared" si="24"/>
        <v>1.1500000000000001</v>
      </c>
      <c r="H460" s="8">
        <f t="shared" si="25"/>
        <v>1.35</v>
      </c>
      <c r="I460" s="8">
        <f t="shared" si="26"/>
        <v>1.8</v>
      </c>
    </row>
    <row r="461" spans="1:9">
      <c r="A461" s="2" t="s">
        <v>462</v>
      </c>
      <c r="B461" s="3">
        <v>6.51</v>
      </c>
      <c r="C461" s="4">
        <v>0.22</v>
      </c>
      <c r="D461" s="7">
        <v>0.75</v>
      </c>
      <c r="E461" s="7">
        <v>0.9</v>
      </c>
      <c r="F461" s="7">
        <v>1.05</v>
      </c>
      <c r="G461" s="8">
        <f t="shared" si="24"/>
        <v>1.1500000000000001</v>
      </c>
      <c r="H461" s="8">
        <f t="shared" si="25"/>
        <v>1.35</v>
      </c>
      <c r="I461" s="8">
        <f t="shared" si="26"/>
        <v>1.8</v>
      </c>
    </row>
    <row r="462" spans="1:9">
      <c r="A462" s="2" t="s">
        <v>463</v>
      </c>
      <c r="B462" s="3">
        <v>7.1</v>
      </c>
      <c r="C462" s="4">
        <v>0.23899999999999999</v>
      </c>
      <c r="D462" s="9">
        <v>0.75</v>
      </c>
      <c r="E462" s="9">
        <v>0.9</v>
      </c>
      <c r="F462" s="9">
        <v>1.05</v>
      </c>
      <c r="G462" s="8">
        <f t="shared" si="24"/>
        <v>1.1500000000000001</v>
      </c>
      <c r="H462" s="8">
        <f t="shared" si="25"/>
        <v>1.35</v>
      </c>
      <c r="I462" s="8">
        <f t="shared" si="26"/>
        <v>1.8</v>
      </c>
    </row>
    <row r="463" spans="1:9">
      <c r="A463" s="2" t="s">
        <v>464</v>
      </c>
      <c r="B463" s="3">
        <v>9.6300000000000008</v>
      </c>
      <c r="C463" s="4">
        <v>0.31919999999999998</v>
      </c>
      <c r="G463" s="8">
        <f t="shared" si="24"/>
        <v>0</v>
      </c>
      <c r="H463" s="8">
        <f t="shared" si="25"/>
        <v>0</v>
      </c>
      <c r="I463" s="8">
        <f t="shared" si="26"/>
        <v>0</v>
      </c>
    </row>
    <row r="464" spans="1:9">
      <c r="A464" s="2" t="s">
        <v>465</v>
      </c>
      <c r="B464" s="3">
        <v>10.8</v>
      </c>
      <c r="C464" s="4">
        <v>0.31919999999999998</v>
      </c>
      <c r="G464" s="8">
        <f t="shared" si="24"/>
        <v>0</v>
      </c>
      <c r="H464" s="8">
        <f t="shared" si="25"/>
        <v>0</v>
      </c>
      <c r="I464" s="8">
        <f t="shared" si="26"/>
        <v>0</v>
      </c>
    </row>
    <row r="465" spans="1:9">
      <c r="A465" s="2" t="s">
        <v>466</v>
      </c>
      <c r="B465" s="3">
        <v>11.9</v>
      </c>
      <c r="C465" s="4">
        <v>0.31919999999999998</v>
      </c>
      <c r="D465" s="9">
        <v>0.75</v>
      </c>
      <c r="E465" s="9">
        <v>0.9</v>
      </c>
      <c r="F465" s="9">
        <v>1.05</v>
      </c>
      <c r="G465" s="8">
        <f t="shared" si="24"/>
        <v>1.1500000000000001</v>
      </c>
      <c r="H465" s="8">
        <f t="shared" si="25"/>
        <v>1.35</v>
      </c>
      <c r="I465" s="8">
        <f t="shared" si="26"/>
        <v>1.8</v>
      </c>
    </row>
    <row r="466" spans="1:9">
      <c r="A466" s="2" t="s">
        <v>467</v>
      </c>
      <c r="B466" s="3">
        <v>13.3</v>
      </c>
      <c r="C466" s="4">
        <v>0.31919999999999998</v>
      </c>
      <c r="G466" s="8">
        <f t="shared" si="24"/>
        <v>0</v>
      </c>
      <c r="H466" s="8">
        <f t="shared" si="25"/>
        <v>0</v>
      </c>
      <c r="I466" s="8">
        <f t="shared" si="26"/>
        <v>0</v>
      </c>
    </row>
    <row r="467" spans="1:9">
      <c r="A467" s="2" t="s">
        <v>468</v>
      </c>
      <c r="B467" s="3">
        <v>14.8</v>
      </c>
      <c r="C467" s="4">
        <v>0.31919999999999998</v>
      </c>
      <c r="G467" s="8">
        <f t="shared" si="24"/>
        <v>0</v>
      </c>
      <c r="H467" s="8">
        <f t="shared" si="25"/>
        <v>0</v>
      </c>
      <c r="I467" s="8">
        <f t="shared" si="26"/>
        <v>0</v>
      </c>
    </row>
    <row r="468" spans="1:9">
      <c r="A468" s="2" t="s">
        <v>469</v>
      </c>
      <c r="B468" s="3">
        <v>16.5</v>
      </c>
      <c r="C468" s="4">
        <v>0.31919999999999998</v>
      </c>
      <c r="G468" s="8">
        <f t="shared" si="24"/>
        <v>0</v>
      </c>
      <c r="H468" s="8">
        <f t="shared" si="25"/>
        <v>0</v>
      </c>
      <c r="I468" s="8">
        <f t="shared" si="26"/>
        <v>0</v>
      </c>
    </row>
    <row r="469" spans="1:9">
      <c r="A469" s="2" t="s">
        <v>470</v>
      </c>
      <c r="B469" s="3">
        <v>18.5</v>
      </c>
      <c r="C469" s="4">
        <v>0.31919999999999998</v>
      </c>
      <c r="G469" s="8">
        <f t="shared" si="24"/>
        <v>0</v>
      </c>
      <c r="H469" s="8">
        <f t="shared" si="25"/>
        <v>0</v>
      </c>
      <c r="I469" s="8">
        <f t="shared" si="26"/>
        <v>0</v>
      </c>
    </row>
    <row r="470" spans="1:9">
      <c r="A470" s="2" t="s">
        <v>471</v>
      </c>
      <c r="B470" s="3">
        <v>20.100000000000001</v>
      </c>
      <c r="C470" s="4">
        <v>0.31919999999999998</v>
      </c>
      <c r="G470" s="8">
        <f t="shared" si="24"/>
        <v>0</v>
      </c>
      <c r="H470" s="8">
        <f t="shared" si="25"/>
        <v>0</v>
      </c>
      <c r="I470" s="8">
        <f t="shared" si="26"/>
        <v>0</v>
      </c>
    </row>
    <row r="471" spans="1:9">
      <c r="A471" s="2" t="s">
        <v>472</v>
      </c>
      <c r="B471" s="3">
        <v>22.6</v>
      </c>
      <c r="C471" s="4">
        <v>0.31919999999999998</v>
      </c>
      <c r="G471" s="8">
        <f t="shared" si="24"/>
        <v>0</v>
      </c>
      <c r="H471" s="8">
        <f t="shared" si="25"/>
        <v>0</v>
      </c>
      <c r="I471" s="8">
        <f t="shared" si="26"/>
        <v>0</v>
      </c>
    </row>
    <row r="472" spans="1:9">
      <c r="A472" s="2" t="s">
        <v>473</v>
      </c>
      <c r="B472" s="3">
        <v>27.5</v>
      </c>
      <c r="C472" s="4">
        <v>0.31919999999999998</v>
      </c>
      <c r="G472" s="8">
        <f t="shared" si="24"/>
        <v>0</v>
      </c>
      <c r="H472" s="8">
        <f t="shared" si="25"/>
        <v>0</v>
      </c>
      <c r="I472" s="8">
        <f t="shared" si="26"/>
        <v>0</v>
      </c>
    </row>
    <row r="473" spans="1:9">
      <c r="A473" s="2" t="s">
        <v>474</v>
      </c>
      <c r="B473" s="3">
        <v>10.3</v>
      </c>
      <c r="C473" s="4">
        <v>0.33929999999999999</v>
      </c>
      <c r="G473" s="8">
        <f t="shared" si="24"/>
        <v>0</v>
      </c>
      <c r="H473" s="8">
        <f t="shared" si="25"/>
        <v>0</v>
      </c>
      <c r="I473" s="8">
        <f t="shared" si="26"/>
        <v>0</v>
      </c>
    </row>
    <row r="474" spans="1:9">
      <c r="A474" s="2" t="s">
        <v>475</v>
      </c>
      <c r="B474" s="3">
        <v>11.5</v>
      </c>
      <c r="C474" s="4">
        <v>0.33929999999999999</v>
      </c>
      <c r="G474" s="8">
        <f t="shared" si="24"/>
        <v>0</v>
      </c>
      <c r="H474" s="8">
        <f t="shared" si="25"/>
        <v>0</v>
      </c>
      <c r="I474" s="8">
        <f t="shared" si="26"/>
        <v>0</v>
      </c>
    </row>
    <row r="475" spans="1:9">
      <c r="A475" s="2" t="s">
        <v>476</v>
      </c>
      <c r="B475" s="3">
        <v>12.7</v>
      </c>
      <c r="C475" s="4">
        <v>0.33929999999999999</v>
      </c>
      <c r="G475" s="8">
        <f t="shared" si="24"/>
        <v>0</v>
      </c>
      <c r="H475" s="8">
        <f t="shared" si="25"/>
        <v>0</v>
      </c>
      <c r="I475" s="8">
        <f t="shared" si="26"/>
        <v>0</v>
      </c>
    </row>
    <row r="476" spans="1:9">
      <c r="A476" s="2" t="s">
        <v>477</v>
      </c>
      <c r="B476" s="3">
        <v>14.1</v>
      </c>
      <c r="C476" s="4">
        <v>0.33929999999999999</v>
      </c>
      <c r="G476" s="8">
        <f t="shared" si="24"/>
        <v>0</v>
      </c>
      <c r="H476" s="8">
        <f t="shared" si="25"/>
        <v>0</v>
      </c>
      <c r="I476" s="8">
        <f t="shared" si="26"/>
        <v>0</v>
      </c>
    </row>
    <row r="477" spans="1:9">
      <c r="A477" s="2" t="s">
        <v>478</v>
      </c>
      <c r="B477" s="3">
        <v>15.8</v>
      </c>
      <c r="C477" s="4">
        <v>0.33929999999999999</v>
      </c>
      <c r="G477" s="8">
        <f t="shared" si="24"/>
        <v>0</v>
      </c>
      <c r="H477" s="8">
        <f t="shared" si="25"/>
        <v>0</v>
      </c>
      <c r="I477" s="8">
        <f t="shared" si="26"/>
        <v>0</v>
      </c>
    </row>
    <row r="478" spans="1:9">
      <c r="A478" s="2" t="s">
        <v>479</v>
      </c>
      <c r="B478" s="3">
        <v>17.7</v>
      </c>
      <c r="C478" s="4">
        <v>0.33929999999999999</v>
      </c>
      <c r="G478" s="8">
        <f t="shared" si="24"/>
        <v>0</v>
      </c>
      <c r="H478" s="8">
        <f t="shared" si="25"/>
        <v>0</v>
      </c>
      <c r="I478" s="8">
        <f t="shared" si="26"/>
        <v>0</v>
      </c>
    </row>
    <row r="479" spans="1:9">
      <c r="A479" s="2" t="s">
        <v>480</v>
      </c>
      <c r="B479" s="3">
        <v>19.7</v>
      </c>
      <c r="C479" s="4">
        <v>0.33929999999999999</v>
      </c>
      <c r="G479" s="8">
        <f t="shared" si="24"/>
        <v>0</v>
      </c>
      <c r="H479" s="8">
        <f t="shared" si="25"/>
        <v>0</v>
      </c>
      <c r="I479" s="8">
        <f t="shared" si="26"/>
        <v>0</v>
      </c>
    </row>
    <row r="480" spans="1:9">
      <c r="A480" s="2" t="s">
        <v>481</v>
      </c>
      <c r="B480" s="3">
        <v>21.5</v>
      </c>
      <c r="C480" s="4">
        <v>0.33929999999999999</v>
      </c>
      <c r="G480" s="8">
        <f t="shared" si="24"/>
        <v>0</v>
      </c>
      <c r="H480" s="8">
        <f t="shared" si="25"/>
        <v>0</v>
      </c>
      <c r="I480" s="8">
        <f t="shared" si="26"/>
        <v>0</v>
      </c>
    </row>
    <row r="481" spans="1:9">
      <c r="A481" s="2" t="s">
        <v>482</v>
      </c>
      <c r="B481" s="3">
        <v>24.2</v>
      </c>
      <c r="C481" s="4">
        <v>0.33929999999999999</v>
      </c>
      <c r="G481" s="8">
        <f t="shared" si="24"/>
        <v>0</v>
      </c>
      <c r="H481" s="8">
        <f t="shared" si="25"/>
        <v>0</v>
      </c>
      <c r="I481" s="8">
        <f t="shared" si="26"/>
        <v>0</v>
      </c>
    </row>
    <row r="482" spans="1:9">
      <c r="A482" s="2" t="s">
        <v>483</v>
      </c>
      <c r="B482" s="3">
        <v>29.4</v>
      </c>
      <c r="C482" s="4">
        <v>0.33929999999999999</v>
      </c>
      <c r="G482" s="8">
        <f t="shared" si="24"/>
        <v>0</v>
      </c>
      <c r="H482" s="8">
        <f t="shared" si="25"/>
        <v>0</v>
      </c>
      <c r="I482" s="8">
        <f t="shared" si="26"/>
        <v>0</v>
      </c>
    </row>
    <row r="483" spans="1:9">
      <c r="A483" s="2" t="s">
        <v>484</v>
      </c>
      <c r="B483" s="3">
        <v>10.9</v>
      </c>
      <c r="C483" s="4">
        <v>0.35909999999999997</v>
      </c>
      <c r="G483" s="8">
        <f t="shared" si="24"/>
        <v>0</v>
      </c>
      <c r="H483" s="8">
        <f t="shared" si="25"/>
        <v>0</v>
      </c>
      <c r="I483" s="8">
        <f t="shared" si="26"/>
        <v>0</v>
      </c>
    </row>
    <row r="484" spans="1:9">
      <c r="A484" s="2" t="s">
        <v>485</v>
      </c>
      <c r="B484" s="3">
        <v>12.2</v>
      </c>
      <c r="C484" s="4">
        <v>0.35909999999999997</v>
      </c>
      <c r="G484" s="8">
        <f t="shared" si="24"/>
        <v>0</v>
      </c>
      <c r="H484" s="8">
        <f t="shared" si="25"/>
        <v>0</v>
      </c>
      <c r="I484" s="8">
        <f t="shared" si="26"/>
        <v>0</v>
      </c>
    </row>
    <row r="485" spans="1:9">
      <c r="A485" s="2" t="s">
        <v>486</v>
      </c>
      <c r="B485" s="3">
        <v>13.5</v>
      </c>
      <c r="C485" s="4">
        <v>0.35909999999999997</v>
      </c>
      <c r="G485" s="8">
        <f t="shared" si="24"/>
        <v>0</v>
      </c>
      <c r="H485" s="8">
        <f t="shared" si="25"/>
        <v>0</v>
      </c>
      <c r="I485" s="8">
        <f t="shared" si="26"/>
        <v>0</v>
      </c>
    </row>
    <row r="486" spans="1:9">
      <c r="A486" s="2" t="s">
        <v>487</v>
      </c>
      <c r="B486" s="3">
        <v>15</v>
      </c>
      <c r="C486" s="4">
        <v>0.35909999999999997</v>
      </c>
      <c r="G486" s="8">
        <f t="shared" si="24"/>
        <v>0</v>
      </c>
      <c r="H486" s="8">
        <f t="shared" si="25"/>
        <v>0</v>
      </c>
      <c r="I486" s="8">
        <f t="shared" si="26"/>
        <v>0</v>
      </c>
    </row>
    <row r="487" spans="1:9">
      <c r="A487" s="2" t="s">
        <v>488</v>
      </c>
      <c r="B487" s="3">
        <v>16.8</v>
      </c>
      <c r="C487" s="4">
        <v>0.35909999999999997</v>
      </c>
      <c r="G487" s="8">
        <f t="shared" si="24"/>
        <v>0</v>
      </c>
      <c r="H487" s="8">
        <f t="shared" si="25"/>
        <v>0</v>
      </c>
      <c r="I487" s="8">
        <f t="shared" si="26"/>
        <v>0</v>
      </c>
    </row>
    <row r="488" spans="1:9">
      <c r="A488" s="2" t="s">
        <v>489</v>
      </c>
      <c r="B488" s="3">
        <v>18.8</v>
      </c>
      <c r="C488" s="4">
        <v>0.35909999999999997</v>
      </c>
      <c r="G488" s="8">
        <f t="shared" si="24"/>
        <v>0</v>
      </c>
      <c r="H488" s="8">
        <f t="shared" si="25"/>
        <v>0</v>
      </c>
      <c r="I488" s="8">
        <f t="shared" si="26"/>
        <v>0</v>
      </c>
    </row>
    <row r="489" spans="1:9">
      <c r="A489" s="2" t="s">
        <v>490</v>
      </c>
      <c r="B489" s="3">
        <v>21</v>
      </c>
      <c r="C489" s="4">
        <v>0.35909999999999997</v>
      </c>
      <c r="G489" s="8">
        <f t="shared" si="24"/>
        <v>0</v>
      </c>
      <c r="H489" s="8">
        <f t="shared" si="25"/>
        <v>0</v>
      </c>
      <c r="I489" s="8">
        <f t="shared" si="26"/>
        <v>0</v>
      </c>
    </row>
    <row r="490" spans="1:9">
      <c r="A490" s="2" t="s">
        <v>491</v>
      </c>
      <c r="B490" s="3">
        <v>22.9</v>
      </c>
      <c r="C490" s="4">
        <v>0.35909999999999997</v>
      </c>
      <c r="G490" s="8">
        <f t="shared" si="24"/>
        <v>0</v>
      </c>
      <c r="H490" s="8">
        <f t="shared" si="25"/>
        <v>0</v>
      </c>
      <c r="I490" s="8">
        <f t="shared" si="26"/>
        <v>0</v>
      </c>
    </row>
    <row r="491" spans="1:9">
      <c r="A491" s="2" t="s">
        <v>492</v>
      </c>
      <c r="B491" s="3">
        <v>25.7</v>
      </c>
      <c r="C491" s="4">
        <v>0.35909999999999997</v>
      </c>
      <c r="G491" s="8">
        <f t="shared" si="24"/>
        <v>0</v>
      </c>
      <c r="H491" s="8">
        <f t="shared" si="25"/>
        <v>0</v>
      </c>
      <c r="I491" s="8">
        <f t="shared" si="26"/>
        <v>0</v>
      </c>
    </row>
    <row r="492" spans="1:9">
      <c r="A492" s="2" t="s">
        <v>493</v>
      </c>
      <c r="B492" s="3">
        <v>31.4</v>
      </c>
      <c r="C492" s="4">
        <v>0.35909999999999997</v>
      </c>
      <c r="G492" s="8">
        <f t="shared" si="24"/>
        <v>0</v>
      </c>
      <c r="H492" s="8">
        <f t="shared" si="25"/>
        <v>0</v>
      </c>
      <c r="I492" s="8">
        <f t="shared" si="26"/>
        <v>0</v>
      </c>
    </row>
    <row r="493" spans="1:9">
      <c r="A493" s="2" t="s">
        <v>494</v>
      </c>
      <c r="B493" s="3">
        <v>11.5</v>
      </c>
      <c r="C493" s="4">
        <v>0.38009999999999999</v>
      </c>
      <c r="G493" s="8">
        <f t="shared" si="24"/>
        <v>0</v>
      </c>
      <c r="H493" s="8">
        <f t="shared" si="25"/>
        <v>0</v>
      </c>
      <c r="I493" s="8">
        <f t="shared" si="26"/>
        <v>0</v>
      </c>
    </row>
    <row r="494" spans="1:9">
      <c r="A494" s="2" t="s">
        <v>495</v>
      </c>
      <c r="B494" s="3">
        <v>12.9</v>
      </c>
      <c r="C494" s="4">
        <v>0.38009999999999999</v>
      </c>
      <c r="G494" s="8">
        <f t="shared" si="24"/>
        <v>0</v>
      </c>
      <c r="H494" s="8">
        <f t="shared" si="25"/>
        <v>0</v>
      </c>
      <c r="I494" s="8">
        <f t="shared" si="26"/>
        <v>0</v>
      </c>
    </row>
    <row r="495" spans="1:9">
      <c r="A495" s="2" t="s">
        <v>496</v>
      </c>
      <c r="B495" s="3">
        <v>14.3</v>
      </c>
      <c r="C495" s="4">
        <v>0.38009999999999999</v>
      </c>
      <c r="G495" s="8">
        <f t="shared" si="24"/>
        <v>0</v>
      </c>
      <c r="H495" s="8">
        <f t="shared" si="25"/>
        <v>0</v>
      </c>
      <c r="I495" s="8">
        <f t="shared" si="26"/>
        <v>0</v>
      </c>
    </row>
    <row r="496" spans="1:9">
      <c r="A496" s="2" t="s">
        <v>497</v>
      </c>
      <c r="B496" s="3">
        <v>15.9</v>
      </c>
      <c r="C496" s="4">
        <v>0.38009999999999999</v>
      </c>
      <c r="G496" s="8">
        <f t="shared" si="24"/>
        <v>0</v>
      </c>
      <c r="H496" s="8">
        <f t="shared" si="25"/>
        <v>0</v>
      </c>
      <c r="I496" s="8">
        <f t="shared" si="26"/>
        <v>0</v>
      </c>
    </row>
    <row r="497" spans="1:9">
      <c r="A497" s="2" t="s">
        <v>498</v>
      </c>
      <c r="B497" s="3">
        <v>17.8</v>
      </c>
      <c r="C497" s="4">
        <v>0.38009999999999999</v>
      </c>
      <c r="G497" s="8">
        <f t="shared" si="24"/>
        <v>0</v>
      </c>
      <c r="H497" s="8">
        <f t="shared" si="25"/>
        <v>0</v>
      </c>
      <c r="I497" s="8">
        <f t="shared" si="26"/>
        <v>0</v>
      </c>
    </row>
    <row r="498" spans="1:9">
      <c r="A498" s="2" t="s">
        <v>499</v>
      </c>
      <c r="B498" s="3">
        <v>19.899999999999999</v>
      </c>
      <c r="C498" s="4">
        <v>0.38009999999999999</v>
      </c>
      <c r="G498" s="8">
        <f t="shared" si="24"/>
        <v>0</v>
      </c>
      <c r="H498" s="8">
        <f t="shared" si="25"/>
        <v>0</v>
      </c>
      <c r="I498" s="8">
        <f t="shared" si="26"/>
        <v>0</v>
      </c>
    </row>
    <row r="499" spans="1:9">
      <c r="A499" s="2" t="s">
        <v>500</v>
      </c>
      <c r="B499" s="3">
        <v>22.3</v>
      </c>
      <c r="C499" s="4">
        <v>0.38009999999999999</v>
      </c>
      <c r="G499" s="8">
        <f t="shared" si="24"/>
        <v>0</v>
      </c>
      <c r="H499" s="8">
        <f t="shared" si="25"/>
        <v>0</v>
      </c>
      <c r="I499" s="8">
        <f t="shared" si="26"/>
        <v>0</v>
      </c>
    </row>
    <row r="500" spans="1:9">
      <c r="A500" s="2" t="s">
        <v>501</v>
      </c>
      <c r="B500" s="3">
        <v>24.3</v>
      </c>
      <c r="C500" s="4">
        <v>0.38009999999999999</v>
      </c>
      <c r="G500" s="8">
        <f t="shared" si="24"/>
        <v>0</v>
      </c>
      <c r="H500" s="8">
        <f t="shared" si="25"/>
        <v>0</v>
      </c>
      <c r="I500" s="8">
        <f t="shared" si="26"/>
        <v>0</v>
      </c>
    </row>
    <row r="501" spans="1:9">
      <c r="A501" s="2" t="s">
        <v>502</v>
      </c>
      <c r="B501" s="3">
        <v>27.4</v>
      </c>
      <c r="C501" s="4">
        <v>0.38009999999999999</v>
      </c>
      <c r="G501" s="8">
        <f t="shared" si="24"/>
        <v>0</v>
      </c>
      <c r="H501" s="8">
        <f t="shared" si="25"/>
        <v>0</v>
      </c>
      <c r="I501" s="8">
        <f t="shared" si="26"/>
        <v>0</v>
      </c>
    </row>
    <row r="502" spans="1:9">
      <c r="A502" s="2" t="s">
        <v>503</v>
      </c>
      <c r="B502" s="3">
        <v>33.4</v>
      </c>
      <c r="C502" s="4">
        <v>0.38009999999999999</v>
      </c>
      <c r="G502" s="8">
        <f t="shared" si="24"/>
        <v>0</v>
      </c>
      <c r="H502" s="8">
        <f t="shared" si="25"/>
        <v>0</v>
      </c>
      <c r="I502" s="8">
        <f t="shared" si="26"/>
        <v>0</v>
      </c>
    </row>
    <row r="503" spans="1:9">
      <c r="A503" s="2" t="s">
        <v>504</v>
      </c>
      <c r="B503" s="3">
        <v>12.1</v>
      </c>
      <c r="C503" s="4">
        <v>0.39900000000000002</v>
      </c>
      <c r="G503" s="8">
        <f t="shared" si="24"/>
        <v>0</v>
      </c>
      <c r="H503" s="8">
        <f t="shared" si="25"/>
        <v>0</v>
      </c>
      <c r="I503" s="8">
        <f t="shared" si="26"/>
        <v>0</v>
      </c>
    </row>
    <row r="504" spans="1:9">
      <c r="A504" s="2" t="s">
        <v>505</v>
      </c>
      <c r="B504" s="3">
        <v>13.6</v>
      </c>
      <c r="C504" s="4">
        <v>0.39900000000000002</v>
      </c>
      <c r="G504" s="8">
        <f t="shared" si="24"/>
        <v>0</v>
      </c>
      <c r="H504" s="8">
        <f t="shared" si="25"/>
        <v>0</v>
      </c>
      <c r="I504" s="8">
        <f t="shared" si="26"/>
        <v>0</v>
      </c>
    </row>
    <row r="505" spans="1:9">
      <c r="A505" s="2" t="s">
        <v>506</v>
      </c>
      <c r="B505" s="3">
        <v>15</v>
      </c>
      <c r="C505" s="4">
        <v>0.39900000000000002</v>
      </c>
      <c r="G505" s="8">
        <f t="shared" si="24"/>
        <v>0</v>
      </c>
      <c r="H505" s="8">
        <f t="shared" si="25"/>
        <v>0</v>
      </c>
      <c r="I505" s="8">
        <f t="shared" si="26"/>
        <v>0</v>
      </c>
    </row>
    <row r="506" spans="1:9">
      <c r="A506" s="2" t="s">
        <v>507</v>
      </c>
      <c r="B506" s="3">
        <v>16.8</v>
      </c>
      <c r="C506" s="4">
        <v>0.39900000000000002</v>
      </c>
      <c r="G506" s="8">
        <f t="shared" si="24"/>
        <v>0</v>
      </c>
      <c r="H506" s="8">
        <f t="shared" si="25"/>
        <v>0</v>
      </c>
      <c r="I506" s="8">
        <f t="shared" si="26"/>
        <v>0</v>
      </c>
    </row>
    <row r="507" spans="1:9">
      <c r="A507" s="2" t="s">
        <v>508</v>
      </c>
      <c r="B507" s="3">
        <v>18.7</v>
      </c>
      <c r="C507" s="4">
        <v>0.39900000000000002</v>
      </c>
      <c r="G507" s="8">
        <f t="shared" si="24"/>
        <v>0</v>
      </c>
      <c r="H507" s="8">
        <f t="shared" si="25"/>
        <v>0</v>
      </c>
      <c r="I507" s="8">
        <f t="shared" si="26"/>
        <v>0</v>
      </c>
    </row>
    <row r="508" spans="1:9">
      <c r="A508" s="2" t="s">
        <v>509</v>
      </c>
      <c r="B508" s="3">
        <v>21</v>
      </c>
      <c r="C508" s="4">
        <v>0.39900000000000002</v>
      </c>
      <c r="G508" s="8">
        <f t="shared" si="24"/>
        <v>0</v>
      </c>
      <c r="H508" s="8">
        <f t="shared" si="25"/>
        <v>0</v>
      </c>
      <c r="I508" s="8">
        <f t="shared" si="26"/>
        <v>0</v>
      </c>
    </row>
    <row r="509" spans="1:9">
      <c r="A509" s="2" t="s">
        <v>510</v>
      </c>
      <c r="B509" s="3">
        <v>23.5</v>
      </c>
      <c r="C509" s="4">
        <v>0.39900000000000002</v>
      </c>
      <c r="G509" s="8">
        <f t="shared" si="24"/>
        <v>0</v>
      </c>
      <c r="H509" s="8">
        <f t="shared" si="25"/>
        <v>0</v>
      </c>
      <c r="I509" s="8">
        <f t="shared" si="26"/>
        <v>0</v>
      </c>
    </row>
    <row r="510" spans="1:9">
      <c r="A510" s="2" t="s">
        <v>511</v>
      </c>
      <c r="B510" s="3">
        <v>25.6</v>
      </c>
      <c r="C510" s="4">
        <v>0.39900000000000002</v>
      </c>
      <c r="G510" s="8">
        <f t="shared" si="24"/>
        <v>0</v>
      </c>
      <c r="H510" s="8">
        <f t="shared" si="25"/>
        <v>0</v>
      </c>
      <c r="I510" s="8">
        <f t="shared" si="26"/>
        <v>0</v>
      </c>
    </row>
    <row r="511" spans="1:9">
      <c r="A511" s="2" t="s">
        <v>512</v>
      </c>
      <c r="B511" s="3">
        <v>28.8</v>
      </c>
      <c r="C511" s="4">
        <v>0.39900000000000002</v>
      </c>
      <c r="G511" s="8">
        <f t="shared" si="24"/>
        <v>0</v>
      </c>
      <c r="H511" s="8">
        <f t="shared" si="25"/>
        <v>0</v>
      </c>
      <c r="I511" s="8">
        <f t="shared" si="26"/>
        <v>0</v>
      </c>
    </row>
    <row r="512" spans="1:9">
      <c r="A512" s="2" t="s">
        <v>513</v>
      </c>
      <c r="B512" s="3">
        <v>35.299999999999997</v>
      </c>
      <c r="C512" s="4">
        <v>0.39900000000000002</v>
      </c>
      <c r="G512" s="8">
        <f t="shared" si="24"/>
        <v>0</v>
      </c>
      <c r="H512" s="8">
        <f t="shared" si="25"/>
        <v>0</v>
      </c>
      <c r="I512" s="8">
        <f t="shared" si="26"/>
        <v>0</v>
      </c>
    </row>
    <row r="513" spans="1:9">
      <c r="A513" s="2" t="s">
        <v>514</v>
      </c>
      <c r="B513" s="3">
        <v>12.7</v>
      </c>
      <c r="C513" s="4">
        <v>0.4178</v>
      </c>
      <c r="G513" s="8">
        <f t="shared" si="24"/>
        <v>0</v>
      </c>
      <c r="H513" s="8">
        <f t="shared" si="25"/>
        <v>0</v>
      </c>
      <c r="I513" s="8">
        <f t="shared" si="26"/>
        <v>0</v>
      </c>
    </row>
    <row r="514" spans="1:9">
      <c r="A514" s="2" t="s">
        <v>515</v>
      </c>
      <c r="B514" s="3">
        <v>14.3</v>
      </c>
      <c r="C514" s="4">
        <v>0.4178</v>
      </c>
      <c r="G514" s="8">
        <f t="shared" ref="G514:G577" si="27">MROUND($E514*1.3,0.05)</f>
        <v>0</v>
      </c>
      <c r="H514" s="8">
        <f t="shared" ref="H514:H577" si="28">MROUND($E514*1.5,0.05)</f>
        <v>0</v>
      </c>
      <c r="I514" s="8">
        <f t="shared" ref="I514:I577" si="29">MROUND($E514*2,0.05)</f>
        <v>0</v>
      </c>
    </row>
    <row r="515" spans="1:9">
      <c r="A515" s="2" t="s">
        <v>516</v>
      </c>
      <c r="B515" s="3">
        <v>15.8</v>
      </c>
      <c r="C515" s="4">
        <v>0.4178</v>
      </c>
      <c r="G515" s="8">
        <f t="shared" si="27"/>
        <v>0</v>
      </c>
      <c r="H515" s="8">
        <f t="shared" si="28"/>
        <v>0</v>
      </c>
      <c r="I515" s="8">
        <f t="shared" si="29"/>
        <v>0</v>
      </c>
    </row>
    <row r="516" spans="1:9">
      <c r="A516" s="2" t="s">
        <v>517</v>
      </c>
      <c r="B516" s="3">
        <v>17.600000000000001</v>
      </c>
      <c r="C516" s="4">
        <v>0.4178</v>
      </c>
      <c r="G516" s="8">
        <f t="shared" si="27"/>
        <v>0</v>
      </c>
      <c r="H516" s="8">
        <f t="shared" si="28"/>
        <v>0</v>
      </c>
      <c r="I516" s="8">
        <f t="shared" si="29"/>
        <v>0</v>
      </c>
    </row>
    <row r="517" spans="1:9">
      <c r="A517" s="2" t="s">
        <v>518</v>
      </c>
      <c r="B517" s="3">
        <v>19.7</v>
      </c>
      <c r="C517" s="4">
        <v>0.4178</v>
      </c>
      <c r="G517" s="8">
        <f t="shared" si="27"/>
        <v>0</v>
      </c>
      <c r="H517" s="8">
        <f t="shared" si="28"/>
        <v>0</v>
      </c>
      <c r="I517" s="8">
        <f t="shared" si="29"/>
        <v>0</v>
      </c>
    </row>
    <row r="518" spans="1:9">
      <c r="A518" s="2" t="s">
        <v>519</v>
      </c>
      <c r="B518" s="3">
        <v>22</v>
      </c>
      <c r="C518" s="4">
        <v>0.4178</v>
      </c>
      <c r="G518" s="8">
        <f t="shared" si="27"/>
        <v>0</v>
      </c>
      <c r="H518" s="8">
        <f t="shared" si="28"/>
        <v>0</v>
      </c>
      <c r="I518" s="8">
        <f t="shared" si="29"/>
        <v>0</v>
      </c>
    </row>
    <row r="519" spans="1:9">
      <c r="A519" s="2" t="s">
        <v>520</v>
      </c>
      <c r="B519" s="3">
        <v>24.7</v>
      </c>
      <c r="C519" s="4">
        <v>0.4178</v>
      </c>
      <c r="G519" s="8">
        <f t="shared" si="27"/>
        <v>0</v>
      </c>
      <c r="H519" s="8">
        <f t="shared" si="28"/>
        <v>0</v>
      </c>
      <c r="I519" s="8">
        <f t="shared" si="29"/>
        <v>0</v>
      </c>
    </row>
    <row r="520" spans="1:9">
      <c r="A520" s="2" t="s">
        <v>521</v>
      </c>
      <c r="B520" s="3">
        <v>26.9</v>
      </c>
      <c r="C520" s="4">
        <v>0.4178</v>
      </c>
      <c r="G520" s="8">
        <f t="shared" si="27"/>
        <v>0</v>
      </c>
      <c r="H520" s="8">
        <f t="shared" si="28"/>
        <v>0</v>
      </c>
      <c r="I520" s="8">
        <f t="shared" si="29"/>
        <v>0</v>
      </c>
    </row>
    <row r="521" spans="1:9">
      <c r="A521" s="2" t="s">
        <v>522</v>
      </c>
      <c r="B521" s="3">
        <v>30.3</v>
      </c>
      <c r="C521" s="4">
        <v>0.4178</v>
      </c>
      <c r="G521" s="8">
        <f t="shared" si="27"/>
        <v>0</v>
      </c>
      <c r="H521" s="8">
        <f t="shared" si="28"/>
        <v>0</v>
      </c>
      <c r="I521" s="8">
        <f t="shared" si="29"/>
        <v>0</v>
      </c>
    </row>
    <row r="522" spans="1:9">
      <c r="A522" s="2" t="s">
        <v>523</v>
      </c>
      <c r="B522" s="3">
        <v>37.1</v>
      </c>
      <c r="C522" s="4">
        <v>0.4178</v>
      </c>
      <c r="G522" s="8">
        <f t="shared" si="27"/>
        <v>0</v>
      </c>
      <c r="H522" s="8">
        <f t="shared" si="28"/>
        <v>0</v>
      </c>
      <c r="I522" s="8">
        <f t="shared" si="29"/>
        <v>0</v>
      </c>
    </row>
    <row r="523" spans="1:9">
      <c r="A523" s="2" t="s">
        <v>524</v>
      </c>
      <c r="B523" s="3">
        <v>13.4</v>
      </c>
      <c r="C523" s="4">
        <v>0.43890000000000001</v>
      </c>
      <c r="G523" s="8">
        <f t="shared" si="27"/>
        <v>0</v>
      </c>
      <c r="H523" s="8">
        <f t="shared" si="28"/>
        <v>0</v>
      </c>
      <c r="I523" s="8">
        <f t="shared" si="29"/>
        <v>0</v>
      </c>
    </row>
    <row r="524" spans="1:9">
      <c r="A524" s="2" t="s">
        <v>525</v>
      </c>
      <c r="B524" s="3">
        <v>15</v>
      </c>
      <c r="C524" s="4">
        <v>0.43890000000000001</v>
      </c>
      <c r="G524" s="8">
        <f t="shared" si="27"/>
        <v>0</v>
      </c>
      <c r="H524" s="8">
        <f t="shared" si="28"/>
        <v>0</v>
      </c>
      <c r="I524" s="8">
        <f t="shared" si="29"/>
        <v>0</v>
      </c>
    </row>
    <row r="525" spans="1:9">
      <c r="A525" s="2" t="s">
        <v>526</v>
      </c>
      <c r="B525" s="3">
        <v>16.600000000000001</v>
      </c>
      <c r="C525" s="4">
        <v>0.43890000000000001</v>
      </c>
      <c r="G525" s="8">
        <f t="shared" si="27"/>
        <v>0</v>
      </c>
      <c r="H525" s="8">
        <f t="shared" si="28"/>
        <v>0</v>
      </c>
      <c r="I525" s="8">
        <f t="shared" si="29"/>
        <v>0</v>
      </c>
    </row>
    <row r="526" spans="1:9">
      <c r="A526" s="2" t="s">
        <v>527</v>
      </c>
      <c r="B526" s="3">
        <v>18.5</v>
      </c>
      <c r="C526" s="4">
        <v>0.43890000000000001</v>
      </c>
      <c r="G526" s="8">
        <f t="shared" si="27"/>
        <v>0</v>
      </c>
      <c r="H526" s="8">
        <f t="shared" si="28"/>
        <v>0</v>
      </c>
      <c r="I526" s="8">
        <f t="shared" si="29"/>
        <v>0</v>
      </c>
    </row>
    <row r="527" spans="1:9">
      <c r="A527" s="2" t="s">
        <v>528</v>
      </c>
      <c r="B527" s="3">
        <v>20.7</v>
      </c>
      <c r="C527" s="4">
        <v>0.43890000000000001</v>
      </c>
      <c r="G527" s="8">
        <f t="shared" si="27"/>
        <v>0</v>
      </c>
      <c r="H527" s="8">
        <f t="shared" si="28"/>
        <v>0</v>
      </c>
      <c r="I527" s="8">
        <f t="shared" si="29"/>
        <v>0</v>
      </c>
    </row>
    <row r="528" spans="1:9">
      <c r="A528" s="2" t="s">
        <v>529</v>
      </c>
      <c r="B528" s="3">
        <v>23.2</v>
      </c>
      <c r="C528" s="4">
        <v>0.43890000000000001</v>
      </c>
      <c r="G528" s="8">
        <f t="shared" si="27"/>
        <v>0</v>
      </c>
      <c r="H528" s="8">
        <f t="shared" si="28"/>
        <v>0</v>
      </c>
      <c r="I528" s="8">
        <f t="shared" si="29"/>
        <v>0</v>
      </c>
    </row>
    <row r="529" spans="1:9">
      <c r="A529" s="2" t="s">
        <v>530</v>
      </c>
      <c r="B529" s="3">
        <v>26</v>
      </c>
      <c r="C529" s="4">
        <v>0.43890000000000001</v>
      </c>
      <c r="G529" s="8">
        <f t="shared" si="27"/>
        <v>0</v>
      </c>
      <c r="H529" s="8">
        <f t="shared" si="28"/>
        <v>0</v>
      </c>
      <c r="I529" s="8">
        <f t="shared" si="29"/>
        <v>0</v>
      </c>
    </row>
    <row r="530" spans="1:9">
      <c r="A530" s="2" t="s">
        <v>531</v>
      </c>
      <c r="B530" s="3">
        <v>28.4</v>
      </c>
      <c r="C530" s="4">
        <v>0.43890000000000001</v>
      </c>
      <c r="G530" s="8">
        <f t="shared" si="27"/>
        <v>0</v>
      </c>
      <c r="H530" s="8">
        <f t="shared" si="28"/>
        <v>0</v>
      </c>
      <c r="I530" s="8">
        <f t="shared" si="29"/>
        <v>0</v>
      </c>
    </row>
    <row r="531" spans="1:9">
      <c r="A531" s="2" t="s">
        <v>532</v>
      </c>
      <c r="B531" s="3">
        <v>32</v>
      </c>
      <c r="C531" s="4">
        <v>0.43890000000000001</v>
      </c>
      <c r="G531" s="8">
        <f t="shared" si="27"/>
        <v>0</v>
      </c>
      <c r="H531" s="8">
        <f t="shared" si="28"/>
        <v>0</v>
      </c>
      <c r="I531" s="8">
        <f t="shared" si="29"/>
        <v>0</v>
      </c>
    </row>
    <row r="532" spans="1:9">
      <c r="A532" s="2" t="s">
        <v>533</v>
      </c>
      <c r="B532" s="3">
        <v>39.200000000000003</v>
      </c>
      <c r="C532" s="4">
        <v>0.43890000000000001</v>
      </c>
      <c r="G532" s="8">
        <f t="shared" si="27"/>
        <v>0</v>
      </c>
      <c r="H532" s="8">
        <f t="shared" si="28"/>
        <v>0</v>
      </c>
      <c r="I532" s="8">
        <f t="shared" si="29"/>
        <v>0</v>
      </c>
    </row>
    <row r="533" spans="1:9">
      <c r="A533" s="2" t="s">
        <v>534</v>
      </c>
      <c r="B533" s="3">
        <v>14.6</v>
      </c>
      <c r="C533" s="4">
        <v>0.4788</v>
      </c>
      <c r="G533" s="8">
        <f t="shared" si="27"/>
        <v>0</v>
      </c>
      <c r="H533" s="8">
        <f t="shared" si="28"/>
        <v>0</v>
      </c>
      <c r="I533" s="8">
        <f t="shared" si="29"/>
        <v>0</v>
      </c>
    </row>
    <row r="534" spans="1:9">
      <c r="A534" s="2" t="s">
        <v>535</v>
      </c>
      <c r="B534" s="3">
        <v>16.399999999999999</v>
      </c>
      <c r="C534" s="4">
        <v>0.4788</v>
      </c>
      <c r="G534" s="8">
        <f t="shared" si="27"/>
        <v>0</v>
      </c>
      <c r="H534" s="8">
        <f t="shared" si="28"/>
        <v>0</v>
      </c>
      <c r="I534" s="8">
        <f t="shared" si="29"/>
        <v>0</v>
      </c>
    </row>
    <row r="535" spans="1:9">
      <c r="A535" s="2" t="s">
        <v>536</v>
      </c>
      <c r="B535" s="3">
        <v>18.2</v>
      </c>
      <c r="C535" s="4">
        <v>0.4788</v>
      </c>
      <c r="G535" s="8">
        <f t="shared" si="27"/>
        <v>0</v>
      </c>
      <c r="H535" s="8">
        <f t="shared" si="28"/>
        <v>0</v>
      </c>
      <c r="I535" s="8">
        <f t="shared" si="29"/>
        <v>0</v>
      </c>
    </row>
    <row r="536" spans="1:9">
      <c r="A536" s="2" t="s">
        <v>537</v>
      </c>
      <c r="B536" s="3">
        <v>20.3</v>
      </c>
      <c r="C536" s="4">
        <v>0.4788</v>
      </c>
      <c r="G536" s="8">
        <f t="shared" si="27"/>
        <v>0</v>
      </c>
      <c r="H536" s="8">
        <f t="shared" si="28"/>
        <v>0</v>
      </c>
      <c r="I536" s="8">
        <f t="shared" si="29"/>
        <v>0</v>
      </c>
    </row>
    <row r="537" spans="1:9">
      <c r="A537" s="2" t="s">
        <v>538</v>
      </c>
      <c r="B537" s="3">
        <v>22.7</v>
      </c>
      <c r="C537" s="4">
        <v>0.4788</v>
      </c>
      <c r="G537" s="8">
        <f t="shared" si="27"/>
        <v>0</v>
      </c>
      <c r="H537" s="8">
        <f t="shared" si="28"/>
        <v>0</v>
      </c>
      <c r="I537" s="8">
        <f t="shared" si="29"/>
        <v>0</v>
      </c>
    </row>
    <row r="538" spans="1:9">
      <c r="A538" s="2" t="s">
        <v>539</v>
      </c>
      <c r="B538" s="3">
        <v>25.4</v>
      </c>
      <c r="C538" s="4">
        <v>0.4788</v>
      </c>
      <c r="G538" s="8">
        <f t="shared" si="27"/>
        <v>0</v>
      </c>
      <c r="H538" s="8">
        <f t="shared" si="28"/>
        <v>0</v>
      </c>
      <c r="I538" s="8">
        <f t="shared" si="29"/>
        <v>0</v>
      </c>
    </row>
    <row r="539" spans="1:9">
      <c r="A539" s="2" t="s">
        <v>540</v>
      </c>
      <c r="B539" s="3">
        <v>28.5</v>
      </c>
      <c r="C539" s="4">
        <v>0.4788</v>
      </c>
      <c r="G539" s="8">
        <f t="shared" si="27"/>
        <v>0</v>
      </c>
      <c r="H539" s="8">
        <f t="shared" si="28"/>
        <v>0</v>
      </c>
      <c r="I539" s="8">
        <f t="shared" si="29"/>
        <v>0</v>
      </c>
    </row>
    <row r="540" spans="1:9">
      <c r="A540" s="2" t="s">
        <v>541</v>
      </c>
      <c r="B540" s="3">
        <v>31.2</v>
      </c>
      <c r="C540" s="4">
        <v>0.4788</v>
      </c>
      <c r="G540" s="8">
        <f t="shared" si="27"/>
        <v>0</v>
      </c>
      <c r="H540" s="8">
        <f t="shared" si="28"/>
        <v>0</v>
      </c>
      <c r="I540" s="8">
        <f t="shared" si="29"/>
        <v>0</v>
      </c>
    </row>
    <row r="541" spans="1:9">
      <c r="A541" s="2" t="s">
        <v>542</v>
      </c>
      <c r="B541" s="3">
        <v>35.1</v>
      </c>
      <c r="C541" s="4">
        <v>0.4788</v>
      </c>
      <c r="G541" s="8">
        <f t="shared" si="27"/>
        <v>0</v>
      </c>
      <c r="H541" s="8">
        <f t="shared" si="28"/>
        <v>0</v>
      </c>
      <c r="I541" s="8">
        <f t="shared" si="29"/>
        <v>0</v>
      </c>
    </row>
    <row r="542" spans="1:9">
      <c r="A542" s="2" t="s">
        <v>543</v>
      </c>
      <c r="B542" s="3">
        <v>43.1</v>
      </c>
      <c r="C542" s="4">
        <v>0.4788</v>
      </c>
      <c r="G542" s="8">
        <f t="shared" si="27"/>
        <v>0</v>
      </c>
      <c r="H542" s="8">
        <f t="shared" si="28"/>
        <v>0</v>
      </c>
      <c r="I542" s="8">
        <f t="shared" si="29"/>
        <v>0</v>
      </c>
    </row>
    <row r="543" spans="1:9">
      <c r="A543" s="2" t="s">
        <v>544</v>
      </c>
      <c r="B543" s="3">
        <v>15.3</v>
      </c>
      <c r="C543" s="4">
        <v>0.4995</v>
      </c>
      <c r="G543" s="8">
        <f t="shared" si="27"/>
        <v>0</v>
      </c>
      <c r="H543" s="8">
        <f t="shared" si="28"/>
        <v>0</v>
      </c>
      <c r="I543" s="8">
        <f t="shared" si="29"/>
        <v>0</v>
      </c>
    </row>
    <row r="544" spans="1:9">
      <c r="A544" s="2" t="s">
        <v>545</v>
      </c>
      <c r="B544" s="3">
        <v>17.100000000000001</v>
      </c>
      <c r="C544" s="4">
        <v>0.4995</v>
      </c>
      <c r="G544" s="8">
        <f t="shared" si="27"/>
        <v>0</v>
      </c>
      <c r="H544" s="8">
        <f t="shared" si="28"/>
        <v>0</v>
      </c>
      <c r="I544" s="8">
        <f t="shared" si="29"/>
        <v>0</v>
      </c>
    </row>
    <row r="545" spans="1:9">
      <c r="A545" s="2" t="s">
        <v>546</v>
      </c>
      <c r="B545" s="3">
        <v>19</v>
      </c>
      <c r="C545" s="4">
        <v>0.4995</v>
      </c>
      <c r="G545" s="8">
        <f t="shared" si="27"/>
        <v>0</v>
      </c>
      <c r="H545" s="8">
        <f t="shared" si="28"/>
        <v>0</v>
      </c>
      <c r="I545" s="8">
        <f t="shared" si="29"/>
        <v>0</v>
      </c>
    </row>
    <row r="546" spans="1:9">
      <c r="A546" s="2" t="s">
        <v>547</v>
      </c>
      <c r="B546" s="3">
        <v>21.2</v>
      </c>
      <c r="C546" s="4">
        <v>0.4995</v>
      </c>
      <c r="G546" s="8">
        <f t="shared" si="27"/>
        <v>0</v>
      </c>
      <c r="H546" s="8">
        <f t="shared" si="28"/>
        <v>0</v>
      </c>
      <c r="I546" s="8">
        <f t="shared" si="29"/>
        <v>0</v>
      </c>
    </row>
    <row r="547" spans="1:9">
      <c r="A547" s="2" t="s">
        <v>548</v>
      </c>
      <c r="B547" s="3">
        <v>23.7</v>
      </c>
      <c r="C547" s="4">
        <v>0.4995</v>
      </c>
      <c r="G547" s="8">
        <f t="shared" si="27"/>
        <v>0</v>
      </c>
      <c r="H547" s="8">
        <f t="shared" si="28"/>
        <v>0</v>
      </c>
      <c r="I547" s="8">
        <f t="shared" si="29"/>
        <v>0</v>
      </c>
    </row>
    <row r="548" spans="1:9">
      <c r="A548" s="2" t="s">
        <v>549</v>
      </c>
      <c r="B548" s="3">
        <v>26.6</v>
      </c>
      <c r="C548" s="4">
        <v>0.4995</v>
      </c>
      <c r="G548" s="8">
        <f t="shared" si="27"/>
        <v>0</v>
      </c>
      <c r="H548" s="8">
        <f t="shared" si="28"/>
        <v>0</v>
      </c>
      <c r="I548" s="8">
        <f t="shared" si="29"/>
        <v>0</v>
      </c>
    </row>
    <row r="549" spans="1:9">
      <c r="A549" s="2" t="s">
        <v>550</v>
      </c>
      <c r="B549" s="3">
        <v>29.8</v>
      </c>
      <c r="C549" s="4">
        <v>0.4995</v>
      </c>
      <c r="G549" s="8">
        <f t="shared" si="27"/>
        <v>0</v>
      </c>
      <c r="H549" s="8">
        <f t="shared" si="28"/>
        <v>0</v>
      </c>
      <c r="I549" s="8">
        <f t="shared" si="29"/>
        <v>0</v>
      </c>
    </row>
    <row r="550" spans="1:9">
      <c r="A550" s="2" t="s">
        <v>551</v>
      </c>
      <c r="B550" s="3">
        <v>32.6</v>
      </c>
      <c r="C550" s="4">
        <v>0.4995</v>
      </c>
      <c r="G550" s="8">
        <f t="shared" si="27"/>
        <v>0</v>
      </c>
      <c r="H550" s="8">
        <f t="shared" si="28"/>
        <v>0</v>
      </c>
      <c r="I550" s="8">
        <f t="shared" si="29"/>
        <v>0</v>
      </c>
    </row>
    <row r="551" spans="1:9">
      <c r="A551" s="2" t="s">
        <v>552</v>
      </c>
      <c r="B551" s="3">
        <v>36.700000000000003</v>
      </c>
      <c r="C551" s="4">
        <v>0.4995</v>
      </c>
      <c r="G551" s="8">
        <f t="shared" si="27"/>
        <v>0</v>
      </c>
      <c r="H551" s="8">
        <f t="shared" si="28"/>
        <v>0</v>
      </c>
      <c r="I551" s="8">
        <f t="shared" si="29"/>
        <v>0</v>
      </c>
    </row>
    <row r="552" spans="1:9">
      <c r="A552" s="2" t="s">
        <v>553</v>
      </c>
      <c r="B552" s="3">
        <v>45.2</v>
      </c>
      <c r="C552" s="4">
        <v>0.4995</v>
      </c>
      <c r="G552" s="8">
        <f t="shared" si="27"/>
        <v>0</v>
      </c>
      <c r="H552" s="8">
        <f t="shared" si="28"/>
        <v>0</v>
      </c>
      <c r="I552" s="8">
        <f t="shared" si="29"/>
        <v>0</v>
      </c>
    </row>
    <row r="553" spans="1:9">
      <c r="A553" s="2" t="s">
        <v>554</v>
      </c>
      <c r="B553" s="3">
        <v>15.9</v>
      </c>
      <c r="C553" s="4">
        <v>0.51870000000000005</v>
      </c>
      <c r="G553" s="8">
        <f t="shared" si="27"/>
        <v>0</v>
      </c>
      <c r="H553" s="8">
        <f t="shared" si="28"/>
        <v>0</v>
      </c>
      <c r="I553" s="8">
        <f t="shared" si="29"/>
        <v>0</v>
      </c>
    </row>
    <row r="554" spans="1:9">
      <c r="A554" s="2" t="s">
        <v>555</v>
      </c>
      <c r="B554" s="3">
        <v>17.8</v>
      </c>
      <c r="C554" s="4">
        <v>0.51870000000000005</v>
      </c>
      <c r="G554" s="8">
        <f t="shared" si="27"/>
        <v>0</v>
      </c>
      <c r="H554" s="8">
        <f t="shared" si="28"/>
        <v>0</v>
      </c>
      <c r="I554" s="8">
        <f t="shared" si="29"/>
        <v>0</v>
      </c>
    </row>
    <row r="555" spans="1:9">
      <c r="A555" s="2" t="s">
        <v>556</v>
      </c>
      <c r="B555" s="3">
        <v>19.7</v>
      </c>
      <c r="C555" s="4">
        <v>0.51870000000000005</v>
      </c>
      <c r="G555" s="8">
        <f t="shared" si="27"/>
        <v>0</v>
      </c>
      <c r="H555" s="8">
        <f t="shared" si="28"/>
        <v>0</v>
      </c>
      <c r="I555" s="8">
        <f t="shared" si="29"/>
        <v>0</v>
      </c>
    </row>
    <row r="556" spans="1:9">
      <c r="A556" s="2" t="s">
        <v>557</v>
      </c>
      <c r="B556" s="3">
        <v>22</v>
      </c>
      <c r="C556" s="4">
        <v>0.51870000000000005</v>
      </c>
      <c r="G556" s="8">
        <f t="shared" si="27"/>
        <v>0</v>
      </c>
      <c r="H556" s="8">
        <f t="shared" si="28"/>
        <v>0</v>
      </c>
      <c r="I556" s="8">
        <f t="shared" si="29"/>
        <v>0</v>
      </c>
    </row>
    <row r="557" spans="1:9">
      <c r="A557" s="2" t="s">
        <v>558</v>
      </c>
      <c r="B557" s="3">
        <v>24.7</v>
      </c>
      <c r="C557" s="4">
        <v>0.51870000000000005</v>
      </c>
      <c r="G557" s="8">
        <f t="shared" si="27"/>
        <v>0</v>
      </c>
      <c r="H557" s="8">
        <f t="shared" si="28"/>
        <v>0</v>
      </c>
      <c r="I557" s="8">
        <f t="shared" si="29"/>
        <v>0</v>
      </c>
    </row>
    <row r="558" spans="1:9">
      <c r="A558" s="2" t="s">
        <v>559</v>
      </c>
      <c r="B558" s="3">
        <v>27.7</v>
      </c>
      <c r="C558" s="4">
        <v>0.51870000000000005</v>
      </c>
      <c r="G558" s="8">
        <f t="shared" si="27"/>
        <v>0</v>
      </c>
      <c r="H558" s="8">
        <f t="shared" si="28"/>
        <v>0</v>
      </c>
      <c r="I558" s="8">
        <f t="shared" si="29"/>
        <v>0</v>
      </c>
    </row>
    <row r="559" spans="1:9">
      <c r="A559" s="2" t="s">
        <v>560</v>
      </c>
      <c r="B559" s="3">
        <v>31</v>
      </c>
      <c r="C559" s="4">
        <v>0.51870000000000005</v>
      </c>
      <c r="G559" s="8">
        <f t="shared" si="27"/>
        <v>0</v>
      </c>
      <c r="H559" s="8">
        <f t="shared" si="28"/>
        <v>0</v>
      </c>
      <c r="I559" s="8">
        <f t="shared" si="29"/>
        <v>0</v>
      </c>
    </row>
    <row r="560" spans="1:9">
      <c r="A560" s="2" t="s">
        <v>561</v>
      </c>
      <c r="B560" s="3">
        <v>33.9</v>
      </c>
      <c r="C560" s="4">
        <v>0.51870000000000005</v>
      </c>
      <c r="G560" s="8">
        <f t="shared" si="27"/>
        <v>0</v>
      </c>
      <c r="H560" s="8">
        <f t="shared" si="28"/>
        <v>0</v>
      </c>
      <c r="I560" s="8">
        <f t="shared" si="29"/>
        <v>0</v>
      </c>
    </row>
    <row r="561" spans="1:9">
      <c r="A561" s="2" t="s">
        <v>562</v>
      </c>
      <c r="B561" s="3">
        <v>38.200000000000003</v>
      </c>
      <c r="C561" s="4">
        <v>0.51870000000000005</v>
      </c>
      <c r="G561" s="8">
        <f t="shared" si="27"/>
        <v>0</v>
      </c>
      <c r="H561" s="8">
        <f t="shared" si="28"/>
        <v>0</v>
      </c>
      <c r="I561" s="8">
        <f t="shared" si="29"/>
        <v>0</v>
      </c>
    </row>
    <row r="562" spans="1:9">
      <c r="A562" s="2" t="s">
        <v>563</v>
      </c>
      <c r="B562" s="3">
        <v>47</v>
      </c>
      <c r="C562" s="4">
        <v>0.51870000000000005</v>
      </c>
      <c r="G562" s="8">
        <f t="shared" si="27"/>
        <v>0</v>
      </c>
      <c r="H562" s="8">
        <f t="shared" si="28"/>
        <v>0</v>
      </c>
      <c r="I562" s="8">
        <f t="shared" si="29"/>
        <v>0</v>
      </c>
    </row>
    <row r="563" spans="1:9">
      <c r="A563" s="2" t="s">
        <v>564</v>
      </c>
      <c r="B563" s="3">
        <v>16.2</v>
      </c>
      <c r="C563" s="4">
        <v>0.52869999999999995</v>
      </c>
      <c r="D563" s="9">
        <v>0.75</v>
      </c>
      <c r="E563" s="9">
        <v>0.9</v>
      </c>
      <c r="F563" s="9">
        <v>1.05</v>
      </c>
      <c r="G563" s="8">
        <f t="shared" si="27"/>
        <v>1.1500000000000001</v>
      </c>
      <c r="H563" s="8">
        <f t="shared" si="28"/>
        <v>1.35</v>
      </c>
      <c r="I563" s="8">
        <f t="shared" si="29"/>
        <v>1.8</v>
      </c>
    </row>
    <row r="564" spans="1:9">
      <c r="A564" s="2" t="s">
        <v>565</v>
      </c>
      <c r="B564" s="3">
        <v>18.2</v>
      </c>
      <c r="C564" s="4">
        <v>0.52869999999999995</v>
      </c>
      <c r="D564" s="9">
        <v>0.75</v>
      </c>
      <c r="E564" s="9">
        <v>0.9</v>
      </c>
      <c r="F564" s="9">
        <v>1.05</v>
      </c>
      <c r="G564" s="8">
        <f t="shared" si="27"/>
        <v>1.1500000000000001</v>
      </c>
      <c r="H564" s="8">
        <f t="shared" si="28"/>
        <v>1.35</v>
      </c>
      <c r="I564" s="8">
        <f t="shared" si="29"/>
        <v>1.8</v>
      </c>
    </row>
    <row r="565" spans="1:9">
      <c r="A565" s="2" t="s">
        <v>566</v>
      </c>
      <c r="B565" s="3">
        <v>20.100000000000001</v>
      </c>
      <c r="C565" s="4">
        <v>0.52869999999999995</v>
      </c>
      <c r="D565" s="9">
        <v>0.75</v>
      </c>
      <c r="E565" s="9">
        <v>0.9</v>
      </c>
      <c r="F565" s="9">
        <v>1.05</v>
      </c>
      <c r="G565" s="8">
        <f t="shared" si="27"/>
        <v>1.1500000000000001</v>
      </c>
      <c r="H565" s="8">
        <f t="shared" si="28"/>
        <v>1.35</v>
      </c>
      <c r="I565" s="8">
        <f t="shared" si="29"/>
        <v>1.8</v>
      </c>
    </row>
    <row r="566" spans="1:9">
      <c r="A566" s="2" t="s">
        <v>567</v>
      </c>
      <c r="B566" s="3">
        <v>22.5</v>
      </c>
      <c r="C566" s="4">
        <v>0.52869999999999995</v>
      </c>
      <c r="G566" s="8">
        <f t="shared" si="27"/>
        <v>0</v>
      </c>
      <c r="H566" s="8">
        <f t="shared" si="28"/>
        <v>0</v>
      </c>
      <c r="I566" s="8">
        <f t="shared" si="29"/>
        <v>0</v>
      </c>
    </row>
    <row r="567" spans="1:9">
      <c r="A567" s="2" t="s">
        <v>568</v>
      </c>
      <c r="B567" s="3">
        <v>24</v>
      </c>
      <c r="C567" s="4">
        <v>0.52900000000000003</v>
      </c>
      <c r="D567" s="9">
        <v>0.75</v>
      </c>
      <c r="E567" s="9">
        <v>0.9</v>
      </c>
      <c r="F567" s="9">
        <v>1.05</v>
      </c>
      <c r="G567" s="8">
        <f t="shared" si="27"/>
        <v>1.1500000000000001</v>
      </c>
      <c r="H567" s="8">
        <f t="shared" si="28"/>
        <v>1.35</v>
      </c>
      <c r="I567" s="8">
        <f t="shared" si="29"/>
        <v>1.8</v>
      </c>
    </row>
    <row r="568" spans="1:9">
      <c r="A568" s="2" t="s">
        <v>569</v>
      </c>
      <c r="B568" s="3">
        <v>25.2</v>
      </c>
      <c r="C568" s="4">
        <v>0.52869999999999995</v>
      </c>
      <c r="D568" s="9">
        <v>0.75</v>
      </c>
      <c r="E568" s="9">
        <v>0.9</v>
      </c>
      <c r="F568" s="9">
        <v>1.05</v>
      </c>
      <c r="G568" s="8">
        <f t="shared" si="27"/>
        <v>1.1500000000000001</v>
      </c>
      <c r="H568" s="8">
        <f t="shared" si="28"/>
        <v>1.35</v>
      </c>
      <c r="I568" s="8">
        <f t="shared" si="29"/>
        <v>1.8</v>
      </c>
    </row>
    <row r="569" spans="1:9">
      <c r="A569" s="2" t="s">
        <v>570</v>
      </c>
      <c r="B569" s="3">
        <v>28.2</v>
      </c>
      <c r="C569" s="4">
        <v>0.52869999999999995</v>
      </c>
      <c r="G569" s="8">
        <f t="shared" si="27"/>
        <v>0</v>
      </c>
      <c r="H569" s="8">
        <f t="shared" si="28"/>
        <v>0</v>
      </c>
      <c r="I569" s="8">
        <f t="shared" si="29"/>
        <v>0</v>
      </c>
    </row>
    <row r="570" spans="1:9">
      <c r="A570" s="2" t="s">
        <v>571</v>
      </c>
      <c r="B570" s="3">
        <v>31.6</v>
      </c>
      <c r="C570" s="4">
        <v>0.52869999999999995</v>
      </c>
      <c r="G570" s="8">
        <f t="shared" si="27"/>
        <v>0</v>
      </c>
      <c r="H570" s="8">
        <f t="shared" si="28"/>
        <v>0</v>
      </c>
      <c r="I570" s="8">
        <f t="shared" si="29"/>
        <v>0</v>
      </c>
    </row>
    <row r="571" spans="1:9">
      <c r="A571" s="2" t="s">
        <v>572</v>
      </c>
      <c r="B571" s="3">
        <v>34.6</v>
      </c>
      <c r="C571" s="4">
        <v>0.52869999999999995</v>
      </c>
      <c r="D571" s="9">
        <v>0.75</v>
      </c>
      <c r="E571" s="9">
        <v>0.9</v>
      </c>
      <c r="F571" s="9">
        <v>1.05</v>
      </c>
      <c r="G571" s="8">
        <f t="shared" si="27"/>
        <v>1.1500000000000001</v>
      </c>
      <c r="H571" s="8">
        <f t="shared" si="28"/>
        <v>1.35</v>
      </c>
      <c r="I571" s="8">
        <f t="shared" si="29"/>
        <v>1.8</v>
      </c>
    </row>
    <row r="572" spans="1:9">
      <c r="A572" s="2" t="s">
        <v>573</v>
      </c>
      <c r="B572" s="3">
        <v>39</v>
      </c>
      <c r="C572" s="4">
        <v>0.52869999999999995</v>
      </c>
      <c r="D572" s="9">
        <v>0.75</v>
      </c>
      <c r="E572" s="9">
        <v>0.9</v>
      </c>
      <c r="F572" s="9">
        <v>1.05</v>
      </c>
      <c r="G572" s="8">
        <f t="shared" si="27"/>
        <v>1.1500000000000001</v>
      </c>
      <c r="H572" s="8">
        <f t="shared" si="28"/>
        <v>1.35</v>
      </c>
      <c r="I572" s="8">
        <f t="shared" si="29"/>
        <v>1.8</v>
      </c>
    </row>
    <row r="573" spans="1:9">
      <c r="A573" s="2" t="s">
        <v>574</v>
      </c>
      <c r="B573" s="3">
        <v>48</v>
      </c>
      <c r="C573" s="4">
        <v>0.52869999999999995</v>
      </c>
      <c r="G573" s="8">
        <f t="shared" si="27"/>
        <v>0</v>
      </c>
      <c r="H573" s="8">
        <f t="shared" si="28"/>
        <v>0</v>
      </c>
      <c r="I573" s="8">
        <f t="shared" si="29"/>
        <v>0</v>
      </c>
    </row>
    <row r="574" spans="1:9">
      <c r="A574" s="2" t="s">
        <v>575</v>
      </c>
      <c r="B574" s="3">
        <v>17.100000000000001</v>
      </c>
      <c r="C574" s="4">
        <v>0.55859999999999999</v>
      </c>
      <c r="D574" s="9">
        <v>0.75</v>
      </c>
      <c r="E574" s="9">
        <v>0.9</v>
      </c>
      <c r="F574" s="9">
        <v>1.05</v>
      </c>
      <c r="G574" s="8">
        <f t="shared" si="27"/>
        <v>1.1500000000000001</v>
      </c>
      <c r="H574" s="8">
        <f t="shared" si="28"/>
        <v>1.35</v>
      </c>
      <c r="I574" s="8">
        <f t="shared" si="29"/>
        <v>1.8</v>
      </c>
    </row>
    <row r="575" spans="1:9">
      <c r="A575" s="2" t="s">
        <v>576</v>
      </c>
      <c r="B575" s="3">
        <v>19.2</v>
      </c>
      <c r="C575" s="4">
        <v>0.55859999999999999</v>
      </c>
      <c r="D575" s="9">
        <v>0.75</v>
      </c>
      <c r="E575" s="9">
        <v>0.9</v>
      </c>
      <c r="F575" s="9">
        <v>1.05</v>
      </c>
      <c r="G575" s="8">
        <f t="shared" si="27"/>
        <v>1.1500000000000001</v>
      </c>
      <c r="H575" s="8">
        <f t="shared" si="28"/>
        <v>1.35</v>
      </c>
      <c r="I575" s="8">
        <f t="shared" si="29"/>
        <v>1.8</v>
      </c>
    </row>
    <row r="576" spans="1:9">
      <c r="A576" s="2" t="s">
        <v>577</v>
      </c>
      <c r="B576" s="3">
        <v>21.3</v>
      </c>
      <c r="C576" s="4">
        <v>0.55859999999999999</v>
      </c>
      <c r="D576" s="9">
        <v>0.75</v>
      </c>
      <c r="E576" s="9">
        <v>0.9</v>
      </c>
      <c r="F576" s="9">
        <v>1.05</v>
      </c>
      <c r="G576" s="8">
        <f t="shared" si="27"/>
        <v>1.1500000000000001</v>
      </c>
      <c r="H576" s="8">
        <f t="shared" si="28"/>
        <v>1.35</v>
      </c>
      <c r="I576" s="8">
        <f t="shared" si="29"/>
        <v>1.8</v>
      </c>
    </row>
    <row r="577" spans="1:9">
      <c r="A577" s="2" t="s">
        <v>578</v>
      </c>
      <c r="B577" s="3">
        <v>23.8</v>
      </c>
      <c r="C577" s="4">
        <v>0.55859999999999999</v>
      </c>
      <c r="G577" s="8">
        <f t="shared" si="27"/>
        <v>0</v>
      </c>
      <c r="H577" s="8">
        <f t="shared" si="28"/>
        <v>0</v>
      </c>
      <c r="I577" s="8">
        <f t="shared" si="29"/>
        <v>0</v>
      </c>
    </row>
    <row r="578" spans="1:9">
      <c r="A578" s="2" t="s">
        <v>579</v>
      </c>
      <c r="B578" s="3">
        <v>25.4</v>
      </c>
      <c r="C578" s="4">
        <v>0.55859999999999999</v>
      </c>
      <c r="D578" s="9">
        <v>0.75</v>
      </c>
      <c r="E578" s="9">
        <v>0.9</v>
      </c>
      <c r="F578" s="9">
        <v>1.05</v>
      </c>
      <c r="G578" s="8">
        <f t="shared" ref="G578:G641" si="30">MROUND($E578*1.3,0.05)</f>
        <v>1.1500000000000001</v>
      </c>
      <c r="H578" s="8">
        <f t="shared" ref="H578:H641" si="31">MROUND($E578*1.5,0.05)</f>
        <v>1.35</v>
      </c>
      <c r="I578" s="8">
        <f t="shared" ref="I578:I641" si="32">MROUND($E578*2,0.05)</f>
        <v>1.8</v>
      </c>
    </row>
    <row r="579" spans="1:9">
      <c r="A579" s="2" t="s">
        <v>580</v>
      </c>
      <c r="B579" s="3">
        <v>26.6</v>
      </c>
      <c r="C579" s="4">
        <v>0.55859999999999999</v>
      </c>
      <c r="D579" s="9">
        <v>0.75</v>
      </c>
      <c r="E579" s="9">
        <v>0.9</v>
      </c>
      <c r="F579" s="9">
        <v>1.05</v>
      </c>
      <c r="G579" s="8">
        <f t="shared" si="30"/>
        <v>1.1500000000000001</v>
      </c>
      <c r="H579" s="8">
        <f t="shared" si="31"/>
        <v>1.35</v>
      </c>
      <c r="I579" s="8">
        <f t="shared" si="32"/>
        <v>1.8</v>
      </c>
    </row>
    <row r="580" spans="1:9">
      <c r="A580" s="2" t="s">
        <v>581</v>
      </c>
      <c r="B580" s="3">
        <v>29.9</v>
      </c>
      <c r="C580" s="4">
        <v>0.55859999999999999</v>
      </c>
      <c r="G580" s="8">
        <f t="shared" si="30"/>
        <v>0</v>
      </c>
      <c r="H580" s="8">
        <f t="shared" si="31"/>
        <v>0</v>
      </c>
      <c r="I580" s="8">
        <f t="shared" si="32"/>
        <v>0</v>
      </c>
    </row>
    <row r="581" spans="1:9">
      <c r="A581" s="2" t="s">
        <v>582</v>
      </c>
      <c r="B581" s="3">
        <v>33.5</v>
      </c>
      <c r="C581" s="4">
        <v>0.55859999999999999</v>
      </c>
      <c r="G581" s="8">
        <f t="shared" si="30"/>
        <v>0</v>
      </c>
      <c r="H581" s="8">
        <f t="shared" si="31"/>
        <v>0</v>
      </c>
      <c r="I581" s="8">
        <f t="shared" si="32"/>
        <v>0</v>
      </c>
    </row>
    <row r="582" spans="1:9">
      <c r="A582" s="2" t="s">
        <v>583</v>
      </c>
      <c r="B582" s="3">
        <v>36.700000000000003</v>
      </c>
      <c r="C582" s="4">
        <v>0.55859999999999999</v>
      </c>
      <c r="G582" s="8">
        <f t="shared" si="30"/>
        <v>0</v>
      </c>
      <c r="H582" s="8">
        <f t="shared" si="31"/>
        <v>0</v>
      </c>
      <c r="I582" s="8">
        <f t="shared" si="32"/>
        <v>0</v>
      </c>
    </row>
    <row r="583" spans="1:9">
      <c r="A583" s="2" t="s">
        <v>584</v>
      </c>
      <c r="B583" s="3">
        <v>41.4</v>
      </c>
      <c r="C583" s="4">
        <v>0.55859999999999999</v>
      </c>
      <c r="D583" s="9">
        <v>0.75</v>
      </c>
      <c r="E583" s="9">
        <v>0.9</v>
      </c>
      <c r="F583" s="9">
        <v>1.05</v>
      </c>
      <c r="G583" s="8">
        <f t="shared" si="30"/>
        <v>1.1500000000000001</v>
      </c>
      <c r="H583" s="8">
        <f t="shared" si="31"/>
        <v>1.35</v>
      </c>
      <c r="I583" s="8">
        <f t="shared" si="32"/>
        <v>1.8</v>
      </c>
    </row>
    <row r="584" spans="1:9">
      <c r="A584" s="2" t="s">
        <v>585</v>
      </c>
      <c r="B584" s="3">
        <v>51</v>
      </c>
      <c r="C584" s="4">
        <v>0.55859999999999999</v>
      </c>
      <c r="D584" s="9">
        <v>0.75</v>
      </c>
      <c r="E584" s="9">
        <v>0.9</v>
      </c>
      <c r="F584" s="9">
        <v>1.05</v>
      </c>
      <c r="G584" s="8">
        <f t="shared" si="30"/>
        <v>1.1500000000000001</v>
      </c>
      <c r="H584" s="8">
        <f t="shared" si="31"/>
        <v>1.35</v>
      </c>
      <c r="I584" s="8">
        <f t="shared" si="32"/>
        <v>1.8</v>
      </c>
    </row>
    <row r="585" spans="1:9">
      <c r="A585" s="2" t="s">
        <v>586</v>
      </c>
      <c r="B585" s="3">
        <v>18.7</v>
      </c>
      <c r="C585" s="4">
        <v>0.60850000000000004</v>
      </c>
      <c r="D585" s="7">
        <v>3.5</v>
      </c>
      <c r="E585" s="7">
        <v>3.75</v>
      </c>
      <c r="F585" s="7">
        <v>4.25</v>
      </c>
      <c r="G585" s="8">
        <f t="shared" si="30"/>
        <v>4.9000000000000004</v>
      </c>
      <c r="H585" s="8">
        <f t="shared" si="31"/>
        <v>5.65</v>
      </c>
      <c r="I585" s="8">
        <f t="shared" si="32"/>
        <v>7.5</v>
      </c>
    </row>
    <row r="586" spans="1:9">
      <c r="A586" s="2" t="s">
        <v>587</v>
      </c>
      <c r="B586" s="3">
        <v>21</v>
      </c>
      <c r="C586" s="4">
        <v>0.60850000000000004</v>
      </c>
      <c r="D586" s="7">
        <v>3.5</v>
      </c>
      <c r="E586" s="7">
        <v>3.75</v>
      </c>
      <c r="F586" s="7">
        <v>4.25</v>
      </c>
      <c r="G586" s="8">
        <f t="shared" si="30"/>
        <v>4.9000000000000004</v>
      </c>
      <c r="H586" s="8">
        <f t="shared" si="31"/>
        <v>5.65</v>
      </c>
      <c r="I586" s="8">
        <f t="shared" si="32"/>
        <v>7.5</v>
      </c>
    </row>
    <row r="587" spans="1:9">
      <c r="A587" s="2" t="s">
        <v>588</v>
      </c>
      <c r="B587" s="3">
        <v>23.3</v>
      </c>
      <c r="C587" s="4">
        <v>0.60850000000000004</v>
      </c>
      <c r="D587" s="7">
        <v>3.5</v>
      </c>
      <c r="E587" s="7">
        <v>3.75</v>
      </c>
      <c r="F587" s="7">
        <v>4.25</v>
      </c>
      <c r="G587" s="8">
        <f t="shared" si="30"/>
        <v>4.9000000000000004</v>
      </c>
      <c r="H587" s="8">
        <f t="shared" si="31"/>
        <v>5.65</v>
      </c>
      <c r="I587" s="8">
        <f t="shared" si="32"/>
        <v>7.5</v>
      </c>
    </row>
    <row r="588" spans="1:9">
      <c r="A588" s="2" t="s">
        <v>589</v>
      </c>
      <c r="B588" s="3">
        <v>25.1</v>
      </c>
      <c r="C588" s="4">
        <v>0.60850000000000004</v>
      </c>
      <c r="G588" s="8">
        <f t="shared" si="30"/>
        <v>0</v>
      </c>
      <c r="H588" s="8">
        <f t="shared" si="31"/>
        <v>0</v>
      </c>
      <c r="I588" s="8">
        <f t="shared" si="32"/>
        <v>0</v>
      </c>
    </row>
    <row r="589" spans="1:9">
      <c r="A589" s="2" t="s">
        <v>590</v>
      </c>
      <c r="B589" s="3">
        <v>27.8</v>
      </c>
      <c r="C589" s="4">
        <v>0.60850000000000004</v>
      </c>
      <c r="D589" s="7">
        <v>3.5</v>
      </c>
      <c r="E589" s="7">
        <v>4</v>
      </c>
      <c r="F589" s="7">
        <v>4.5</v>
      </c>
      <c r="G589" s="8">
        <f t="shared" si="30"/>
        <v>5.2</v>
      </c>
      <c r="H589" s="8">
        <f t="shared" si="31"/>
        <v>6</v>
      </c>
      <c r="I589" s="8">
        <f t="shared" si="32"/>
        <v>8</v>
      </c>
    </row>
    <row r="590" spans="1:9">
      <c r="A590" s="2" t="s">
        <v>591</v>
      </c>
      <c r="B590" s="3">
        <v>29.1</v>
      </c>
      <c r="C590" s="4">
        <v>0.60850000000000004</v>
      </c>
      <c r="D590" s="7">
        <v>3.5</v>
      </c>
      <c r="E590" s="7">
        <v>4</v>
      </c>
      <c r="F590" s="7">
        <v>4.5</v>
      </c>
      <c r="G590" s="8">
        <f t="shared" si="30"/>
        <v>5.2</v>
      </c>
      <c r="H590" s="8">
        <f t="shared" si="31"/>
        <v>6</v>
      </c>
      <c r="I590" s="8">
        <f t="shared" si="32"/>
        <v>8</v>
      </c>
    </row>
    <row r="591" spans="1:9">
      <c r="A591" s="2" t="s">
        <v>592</v>
      </c>
      <c r="B591" s="3">
        <v>32.700000000000003</v>
      </c>
      <c r="C591" s="4">
        <v>0.60850000000000004</v>
      </c>
      <c r="G591" s="8">
        <f t="shared" si="30"/>
        <v>0</v>
      </c>
      <c r="H591" s="8">
        <f t="shared" si="31"/>
        <v>0</v>
      </c>
      <c r="I591" s="8">
        <f t="shared" si="32"/>
        <v>0</v>
      </c>
    </row>
    <row r="592" spans="1:9">
      <c r="A592" s="2" t="s">
        <v>593</v>
      </c>
      <c r="B592" s="3">
        <v>36.6</v>
      </c>
      <c r="C592" s="4">
        <v>0.60850000000000004</v>
      </c>
      <c r="D592" s="7">
        <v>3.5</v>
      </c>
      <c r="E592" s="7">
        <v>4</v>
      </c>
      <c r="F592" s="7">
        <v>4.5</v>
      </c>
      <c r="G592" s="8">
        <f t="shared" si="30"/>
        <v>5.2</v>
      </c>
      <c r="H592" s="8">
        <f t="shared" si="31"/>
        <v>6</v>
      </c>
      <c r="I592" s="8">
        <f t="shared" si="32"/>
        <v>8</v>
      </c>
    </row>
    <row r="593" spans="1:9">
      <c r="A593" s="2" t="s">
        <v>594</v>
      </c>
      <c r="B593" s="3">
        <v>40.1</v>
      </c>
      <c r="C593" s="4">
        <v>0.60850000000000004</v>
      </c>
      <c r="G593" s="8">
        <f t="shared" si="30"/>
        <v>0</v>
      </c>
      <c r="H593" s="8">
        <f t="shared" si="31"/>
        <v>0</v>
      </c>
      <c r="I593" s="8">
        <f t="shared" si="32"/>
        <v>0</v>
      </c>
    </row>
    <row r="594" spans="1:9">
      <c r="A594" s="2" t="s">
        <v>595</v>
      </c>
      <c r="B594" s="3">
        <v>45.3</v>
      </c>
      <c r="C594" s="4">
        <v>0.60850000000000004</v>
      </c>
      <c r="D594" s="7">
        <v>3.5</v>
      </c>
      <c r="E594" s="7">
        <v>4</v>
      </c>
      <c r="F594" s="7">
        <v>4.5</v>
      </c>
      <c r="G594" s="8">
        <f t="shared" si="30"/>
        <v>5.2</v>
      </c>
      <c r="H594" s="8">
        <f t="shared" si="31"/>
        <v>6</v>
      </c>
      <c r="I594" s="8">
        <f t="shared" si="32"/>
        <v>8</v>
      </c>
    </row>
    <row r="595" spans="1:9">
      <c r="A595" s="2" t="s">
        <v>596</v>
      </c>
      <c r="B595" s="3">
        <v>53.8</v>
      </c>
      <c r="C595" s="4">
        <v>0.60850000000000004</v>
      </c>
      <c r="D595" s="7">
        <v>4.5</v>
      </c>
      <c r="E595" s="7">
        <v>5</v>
      </c>
      <c r="F595" s="7">
        <v>5.5</v>
      </c>
      <c r="G595" s="8">
        <f t="shared" si="30"/>
        <v>6.5</v>
      </c>
      <c r="H595" s="8">
        <f t="shared" si="31"/>
        <v>7.5</v>
      </c>
      <c r="I595" s="8">
        <f t="shared" si="32"/>
        <v>10</v>
      </c>
    </row>
    <row r="596" spans="1:9">
      <c r="A596" s="2" t="s">
        <v>597</v>
      </c>
      <c r="B596" s="3">
        <v>55.9</v>
      </c>
      <c r="C596" s="4">
        <v>0.60850000000000004</v>
      </c>
      <c r="D596" s="7">
        <v>4.5</v>
      </c>
      <c r="E596" s="7">
        <v>5</v>
      </c>
      <c r="F596" s="7">
        <v>5.5</v>
      </c>
      <c r="G596" s="8">
        <f t="shared" si="30"/>
        <v>6.5</v>
      </c>
      <c r="H596" s="8">
        <f t="shared" si="31"/>
        <v>7.5</v>
      </c>
      <c r="I596" s="8">
        <f t="shared" si="32"/>
        <v>10</v>
      </c>
    </row>
    <row r="597" spans="1:9">
      <c r="A597" s="2" t="s">
        <v>598</v>
      </c>
      <c r="B597" s="3">
        <v>76</v>
      </c>
      <c r="C597" s="4">
        <v>0.60850000000000004</v>
      </c>
      <c r="D597" s="7">
        <v>5.9</v>
      </c>
      <c r="E597" s="7">
        <v>6.4</v>
      </c>
      <c r="F597" s="7">
        <v>6.9</v>
      </c>
      <c r="G597" s="8">
        <f t="shared" si="30"/>
        <v>8.3000000000000007</v>
      </c>
      <c r="H597" s="8">
        <f t="shared" si="31"/>
        <v>9.6000000000000014</v>
      </c>
      <c r="I597" s="8">
        <f t="shared" si="32"/>
        <v>12.8</v>
      </c>
    </row>
    <row r="598" spans="1:9">
      <c r="A598" s="2" t="s">
        <v>599</v>
      </c>
      <c r="B598" s="3">
        <v>21.2</v>
      </c>
      <c r="C598" s="4">
        <v>0.68830000000000002</v>
      </c>
      <c r="D598" s="7">
        <v>3.6</v>
      </c>
      <c r="E598" s="7">
        <v>3.85</v>
      </c>
      <c r="F598" s="7">
        <v>4.0999999999999996</v>
      </c>
      <c r="G598" s="8">
        <f t="shared" si="30"/>
        <v>5</v>
      </c>
      <c r="H598" s="8">
        <f t="shared" si="31"/>
        <v>5.8000000000000007</v>
      </c>
      <c r="I598" s="8">
        <f t="shared" si="32"/>
        <v>7.7</v>
      </c>
    </row>
    <row r="599" spans="1:9">
      <c r="A599" s="2" t="s">
        <v>600</v>
      </c>
      <c r="B599" s="3">
        <v>23.8</v>
      </c>
      <c r="C599" s="4">
        <v>0.68830000000000002</v>
      </c>
      <c r="D599" s="7">
        <v>3.6</v>
      </c>
      <c r="E599" s="7">
        <v>3.85</v>
      </c>
      <c r="F599" s="7">
        <v>4.0999999999999996</v>
      </c>
      <c r="G599" s="8">
        <f t="shared" si="30"/>
        <v>5</v>
      </c>
      <c r="H599" s="8">
        <f t="shared" si="31"/>
        <v>5.8000000000000007</v>
      </c>
      <c r="I599" s="8">
        <f t="shared" si="32"/>
        <v>7.7</v>
      </c>
    </row>
    <row r="600" spans="1:9">
      <c r="A600" s="2" t="s">
        <v>601</v>
      </c>
      <c r="B600" s="3">
        <v>26.4</v>
      </c>
      <c r="C600" s="4">
        <v>0.68830000000000002</v>
      </c>
      <c r="D600" s="7">
        <v>3.6</v>
      </c>
      <c r="E600" s="7">
        <v>3.85</v>
      </c>
      <c r="F600" s="7">
        <v>4.0999999999999996</v>
      </c>
      <c r="G600" s="8">
        <f t="shared" si="30"/>
        <v>5</v>
      </c>
      <c r="H600" s="8">
        <f t="shared" si="31"/>
        <v>5.8000000000000007</v>
      </c>
      <c r="I600" s="8">
        <f t="shared" si="32"/>
        <v>7.7</v>
      </c>
    </row>
    <row r="601" spans="1:9">
      <c r="A601" s="2" t="s">
        <v>602</v>
      </c>
      <c r="B601" s="3">
        <v>29.5</v>
      </c>
      <c r="C601" s="4">
        <v>0.68830000000000002</v>
      </c>
      <c r="G601" s="8">
        <f t="shared" si="30"/>
        <v>0</v>
      </c>
      <c r="H601" s="8">
        <f t="shared" si="31"/>
        <v>0</v>
      </c>
      <c r="I601" s="8">
        <f t="shared" si="32"/>
        <v>0</v>
      </c>
    </row>
    <row r="602" spans="1:9">
      <c r="A602" s="2" t="s">
        <v>603</v>
      </c>
      <c r="B602" s="3">
        <v>31</v>
      </c>
      <c r="C602" s="4">
        <v>0.68830000000000002</v>
      </c>
      <c r="G602" s="8">
        <f t="shared" si="30"/>
        <v>0</v>
      </c>
      <c r="H602" s="8">
        <f t="shared" si="31"/>
        <v>0</v>
      </c>
      <c r="I602" s="8">
        <f t="shared" si="32"/>
        <v>0</v>
      </c>
    </row>
    <row r="603" spans="1:9">
      <c r="A603" s="2" t="s">
        <v>604</v>
      </c>
      <c r="B603" s="3">
        <v>31.5</v>
      </c>
      <c r="C603" s="4">
        <v>0.68830000000000002</v>
      </c>
      <c r="D603" s="7">
        <v>3.6</v>
      </c>
      <c r="E603" s="7">
        <v>4.0999999999999996</v>
      </c>
      <c r="F603" s="7">
        <v>4.5999999999999996</v>
      </c>
      <c r="G603" s="8">
        <f t="shared" si="30"/>
        <v>5.3500000000000005</v>
      </c>
      <c r="H603" s="8">
        <f t="shared" si="31"/>
        <v>6.15</v>
      </c>
      <c r="I603" s="8">
        <f t="shared" si="32"/>
        <v>8.2000000000000011</v>
      </c>
    </row>
    <row r="604" spans="1:9">
      <c r="A604" s="2" t="s">
        <v>605</v>
      </c>
      <c r="B604" s="3">
        <v>33.1</v>
      </c>
      <c r="C604" s="4">
        <v>0.68830000000000002</v>
      </c>
      <c r="D604" s="7">
        <v>3.6</v>
      </c>
      <c r="E604" s="7">
        <v>4.0999999999999996</v>
      </c>
      <c r="F604" s="7">
        <v>4.5999999999999996</v>
      </c>
      <c r="G604" s="8">
        <f t="shared" si="30"/>
        <v>5.3500000000000005</v>
      </c>
      <c r="H604" s="8">
        <f t="shared" si="31"/>
        <v>6.15</v>
      </c>
      <c r="I604" s="8">
        <f t="shared" si="32"/>
        <v>8.2000000000000011</v>
      </c>
    </row>
    <row r="605" spans="1:9">
      <c r="A605" s="2" t="s">
        <v>606</v>
      </c>
      <c r="B605" s="3">
        <v>37.1</v>
      </c>
      <c r="C605" s="4">
        <v>0.68830000000000002</v>
      </c>
      <c r="G605" s="8">
        <f t="shared" si="30"/>
        <v>0</v>
      </c>
      <c r="H605" s="8">
        <f t="shared" si="31"/>
        <v>0</v>
      </c>
      <c r="I605" s="8">
        <f t="shared" si="32"/>
        <v>0</v>
      </c>
    </row>
    <row r="606" spans="1:9">
      <c r="A606" s="2" t="s">
        <v>607</v>
      </c>
      <c r="B606" s="3">
        <v>41.6</v>
      </c>
      <c r="C606" s="4">
        <v>0.68830000000000002</v>
      </c>
      <c r="D606" s="7">
        <v>3.6</v>
      </c>
      <c r="E606" s="7">
        <v>4.0999999999999996</v>
      </c>
      <c r="F606" s="7">
        <v>4.5999999999999996</v>
      </c>
      <c r="G606" s="8">
        <f t="shared" si="30"/>
        <v>5.3500000000000005</v>
      </c>
      <c r="H606" s="8">
        <f t="shared" si="31"/>
        <v>6.15</v>
      </c>
      <c r="I606" s="8">
        <f t="shared" si="32"/>
        <v>8.2000000000000011</v>
      </c>
    </row>
    <row r="607" spans="1:9">
      <c r="A607" s="2" t="s">
        <v>608</v>
      </c>
      <c r="B607" s="3">
        <v>45.6</v>
      </c>
      <c r="C607" s="4">
        <v>0.68830000000000002</v>
      </c>
      <c r="G607" s="8">
        <f t="shared" si="30"/>
        <v>0</v>
      </c>
      <c r="H607" s="8">
        <f t="shared" si="31"/>
        <v>0</v>
      </c>
      <c r="I607" s="8">
        <f t="shared" si="32"/>
        <v>0</v>
      </c>
    </row>
    <row r="608" spans="1:9">
      <c r="A608" s="2" t="s">
        <v>609</v>
      </c>
      <c r="B608" s="3">
        <v>51.6</v>
      </c>
      <c r="C608" s="4">
        <v>0.68830000000000002</v>
      </c>
      <c r="D608" s="7">
        <v>3.6</v>
      </c>
      <c r="E608" s="7">
        <v>4.0999999999999996</v>
      </c>
      <c r="F608" s="7">
        <v>4.5999999999999996</v>
      </c>
      <c r="G608" s="8">
        <f t="shared" si="30"/>
        <v>5.3500000000000005</v>
      </c>
      <c r="H608" s="8">
        <f t="shared" si="31"/>
        <v>6.15</v>
      </c>
      <c r="I608" s="8">
        <f t="shared" si="32"/>
        <v>8.2000000000000011</v>
      </c>
    </row>
    <row r="609" spans="1:9">
      <c r="A609" s="2" t="s">
        <v>610</v>
      </c>
      <c r="B609" s="3">
        <v>61.3</v>
      </c>
      <c r="C609" s="4">
        <v>0.68830000000000002</v>
      </c>
      <c r="D609" s="7">
        <v>4.7</v>
      </c>
      <c r="E609" s="7">
        <v>5.2</v>
      </c>
      <c r="F609" s="7">
        <v>5.7</v>
      </c>
      <c r="G609" s="8">
        <f t="shared" si="30"/>
        <v>6.75</v>
      </c>
      <c r="H609" s="8">
        <f t="shared" si="31"/>
        <v>7.8000000000000007</v>
      </c>
      <c r="I609" s="8">
        <f t="shared" si="32"/>
        <v>10.4</v>
      </c>
    </row>
    <row r="610" spans="1:9">
      <c r="A610" s="2" t="s">
        <v>611</v>
      </c>
      <c r="B610" s="3">
        <v>63.7</v>
      </c>
      <c r="C610" s="4">
        <v>0.68830000000000002</v>
      </c>
      <c r="D610" s="7">
        <v>4.7</v>
      </c>
      <c r="E610" s="7">
        <v>5.2</v>
      </c>
      <c r="F610" s="7">
        <v>5.7</v>
      </c>
      <c r="G610" s="8">
        <f t="shared" si="30"/>
        <v>6.75</v>
      </c>
      <c r="H610" s="8">
        <f t="shared" si="31"/>
        <v>7.8000000000000007</v>
      </c>
      <c r="I610" s="8">
        <f t="shared" si="32"/>
        <v>10.4</v>
      </c>
    </row>
    <row r="611" spans="1:9">
      <c r="A611" s="2" t="s">
        <v>612</v>
      </c>
      <c r="B611" s="3">
        <v>23.7</v>
      </c>
      <c r="C611" s="4">
        <v>0.7681</v>
      </c>
      <c r="G611" s="8">
        <f t="shared" si="30"/>
        <v>0</v>
      </c>
      <c r="H611" s="8">
        <f t="shared" si="31"/>
        <v>0</v>
      </c>
      <c r="I611" s="8">
        <f t="shared" si="32"/>
        <v>0</v>
      </c>
    </row>
    <row r="612" spans="1:9">
      <c r="A612" s="2" t="s">
        <v>613</v>
      </c>
      <c r="B612" s="3">
        <v>26.6</v>
      </c>
      <c r="C612" s="4">
        <v>0.7681</v>
      </c>
      <c r="G612" s="8">
        <f t="shared" si="30"/>
        <v>0</v>
      </c>
      <c r="H612" s="8">
        <f t="shared" si="31"/>
        <v>0</v>
      </c>
      <c r="I612" s="8">
        <f t="shared" si="32"/>
        <v>0</v>
      </c>
    </row>
    <row r="613" spans="1:9">
      <c r="A613" s="2" t="s">
        <v>614</v>
      </c>
      <c r="B613" s="3">
        <v>29.5</v>
      </c>
      <c r="C613" s="4">
        <v>0.7681</v>
      </c>
      <c r="G613" s="8">
        <f t="shared" si="30"/>
        <v>0</v>
      </c>
      <c r="H613" s="8">
        <f t="shared" si="31"/>
        <v>0</v>
      </c>
      <c r="I613" s="8">
        <f t="shared" si="32"/>
        <v>0</v>
      </c>
    </row>
    <row r="614" spans="1:9">
      <c r="A614" s="2" t="s">
        <v>615</v>
      </c>
      <c r="B614" s="3">
        <v>33</v>
      </c>
      <c r="C614" s="4">
        <v>0.7681</v>
      </c>
      <c r="G614" s="8">
        <f t="shared" si="30"/>
        <v>0</v>
      </c>
      <c r="H614" s="8">
        <f t="shared" si="31"/>
        <v>0</v>
      </c>
      <c r="I614" s="8">
        <f t="shared" si="32"/>
        <v>0</v>
      </c>
    </row>
    <row r="615" spans="1:9">
      <c r="A615" s="2" t="s">
        <v>616</v>
      </c>
      <c r="B615" s="3">
        <v>37</v>
      </c>
      <c r="C615" s="4">
        <v>0.7681</v>
      </c>
      <c r="D615" s="7">
        <v>5</v>
      </c>
      <c r="E615" s="7">
        <v>5.5</v>
      </c>
      <c r="F615" s="7">
        <v>6</v>
      </c>
      <c r="G615" s="8">
        <f t="shared" si="30"/>
        <v>7.15</v>
      </c>
      <c r="H615" s="8">
        <f t="shared" si="31"/>
        <v>8.25</v>
      </c>
      <c r="I615" s="8">
        <f t="shared" si="32"/>
        <v>11</v>
      </c>
    </row>
    <row r="616" spans="1:9">
      <c r="A616" s="2" t="s">
        <v>617</v>
      </c>
      <c r="B616" s="3">
        <v>41.6</v>
      </c>
      <c r="C616" s="4">
        <v>0.76880999999999999</v>
      </c>
      <c r="G616" s="8">
        <f t="shared" si="30"/>
        <v>0</v>
      </c>
      <c r="H616" s="8">
        <f t="shared" si="31"/>
        <v>0</v>
      </c>
      <c r="I616" s="8">
        <f t="shared" si="32"/>
        <v>0</v>
      </c>
    </row>
    <row r="617" spans="1:9">
      <c r="A617" s="2" t="s">
        <v>618</v>
      </c>
      <c r="B617" s="3">
        <v>46.7</v>
      </c>
      <c r="C617" s="4">
        <v>0.7681</v>
      </c>
      <c r="D617" s="7">
        <v>5</v>
      </c>
      <c r="E617" s="7">
        <v>5.5</v>
      </c>
      <c r="F617" s="7">
        <v>6</v>
      </c>
      <c r="G617" s="8">
        <f t="shared" si="30"/>
        <v>7.15</v>
      </c>
      <c r="H617" s="8">
        <f t="shared" si="31"/>
        <v>8.25</v>
      </c>
      <c r="I617" s="8">
        <f t="shared" si="32"/>
        <v>11</v>
      </c>
    </row>
    <row r="618" spans="1:9">
      <c r="A618" s="2" t="s">
        <v>619</v>
      </c>
      <c r="B618" s="3">
        <v>51.1</v>
      </c>
      <c r="C618" s="4">
        <v>0.7681</v>
      </c>
      <c r="G618" s="8">
        <f t="shared" si="30"/>
        <v>0</v>
      </c>
      <c r="H618" s="8">
        <f t="shared" si="31"/>
        <v>0</v>
      </c>
      <c r="I618" s="8">
        <f t="shared" si="32"/>
        <v>0</v>
      </c>
    </row>
    <row r="619" spans="1:9">
      <c r="A619" s="2" t="s">
        <v>620</v>
      </c>
      <c r="B619" s="3">
        <v>57.8</v>
      </c>
      <c r="C619" s="4">
        <v>0.7681</v>
      </c>
      <c r="D619" s="7">
        <v>5.0999999999999996</v>
      </c>
      <c r="E619" s="7">
        <v>5.6</v>
      </c>
      <c r="F619" s="7">
        <v>6.1</v>
      </c>
      <c r="G619" s="8">
        <f t="shared" si="30"/>
        <v>7.3000000000000007</v>
      </c>
      <c r="H619" s="8">
        <f t="shared" si="31"/>
        <v>8.4</v>
      </c>
      <c r="I619" s="8">
        <f t="shared" si="32"/>
        <v>11.200000000000001</v>
      </c>
    </row>
    <row r="620" spans="1:9">
      <c r="A620" s="2" t="s">
        <v>621</v>
      </c>
      <c r="B620" s="3">
        <v>71.5</v>
      </c>
      <c r="C620" s="4">
        <v>0.7681</v>
      </c>
      <c r="D620" s="7">
        <v>5.3</v>
      </c>
      <c r="E620" s="7">
        <v>5.8</v>
      </c>
      <c r="F620" s="7">
        <v>6.3</v>
      </c>
      <c r="G620" s="8">
        <f t="shared" si="30"/>
        <v>7.5500000000000007</v>
      </c>
      <c r="H620" s="8">
        <f t="shared" si="31"/>
        <v>8.7000000000000011</v>
      </c>
      <c r="I620" s="8">
        <f t="shared" si="32"/>
        <v>11.600000000000001</v>
      </c>
    </row>
    <row r="621" spans="1:9">
      <c r="A621" s="2" t="s">
        <v>622</v>
      </c>
      <c r="B621" s="3">
        <v>90.2</v>
      </c>
      <c r="C621" s="4">
        <v>0.7681</v>
      </c>
      <c r="D621" s="7">
        <v>5.3</v>
      </c>
      <c r="E621" s="7">
        <v>5.8</v>
      </c>
      <c r="F621" s="7">
        <v>6.3</v>
      </c>
      <c r="G621" s="8">
        <f t="shared" si="30"/>
        <v>7.5500000000000007</v>
      </c>
      <c r="H621" s="8">
        <f t="shared" si="31"/>
        <v>8.7000000000000011</v>
      </c>
      <c r="I621" s="8">
        <f t="shared" si="32"/>
        <v>11.600000000000001</v>
      </c>
    </row>
    <row r="622" spans="1:9">
      <c r="A622" s="2" t="s">
        <v>623</v>
      </c>
      <c r="B622" s="3">
        <v>25.9</v>
      </c>
      <c r="C622" s="4">
        <v>0.83879999999999999</v>
      </c>
      <c r="G622" s="8">
        <f t="shared" si="30"/>
        <v>0</v>
      </c>
      <c r="H622" s="8">
        <f t="shared" si="31"/>
        <v>0</v>
      </c>
      <c r="I622" s="8">
        <f t="shared" si="32"/>
        <v>0</v>
      </c>
    </row>
    <row r="623" spans="1:9">
      <c r="A623" s="2" t="s">
        <v>624</v>
      </c>
      <c r="B623" s="3">
        <v>29.1</v>
      </c>
      <c r="C623" s="4">
        <v>0.83879999999999999</v>
      </c>
      <c r="G623" s="8">
        <f t="shared" si="30"/>
        <v>0</v>
      </c>
      <c r="H623" s="8">
        <f t="shared" si="31"/>
        <v>0</v>
      </c>
      <c r="I623" s="8">
        <f t="shared" si="32"/>
        <v>0</v>
      </c>
    </row>
    <row r="624" spans="1:9">
      <c r="A624" s="2" t="s">
        <v>625</v>
      </c>
      <c r="B624" s="3">
        <v>32.299999999999997</v>
      </c>
      <c r="C624" s="4">
        <v>0.83879999999999999</v>
      </c>
      <c r="G624" s="8">
        <f t="shared" si="30"/>
        <v>0</v>
      </c>
      <c r="H624" s="8">
        <f t="shared" si="31"/>
        <v>0</v>
      </c>
      <c r="I624" s="8">
        <f t="shared" si="32"/>
        <v>0</v>
      </c>
    </row>
    <row r="625" spans="1:9">
      <c r="A625" s="2" t="s">
        <v>626</v>
      </c>
      <c r="B625" s="3">
        <v>36.1</v>
      </c>
      <c r="C625" s="4">
        <v>0.83879999999999999</v>
      </c>
      <c r="G625" s="8">
        <f t="shared" si="30"/>
        <v>0</v>
      </c>
      <c r="H625" s="8">
        <f t="shared" si="31"/>
        <v>0</v>
      </c>
      <c r="I625" s="8">
        <f t="shared" si="32"/>
        <v>0</v>
      </c>
    </row>
    <row r="626" spans="1:9">
      <c r="A626" s="2" t="s">
        <v>627</v>
      </c>
      <c r="B626" s="3">
        <v>40.5</v>
      </c>
      <c r="C626" s="4">
        <v>0.83879999999999999</v>
      </c>
      <c r="G626" s="8">
        <f t="shared" si="30"/>
        <v>0</v>
      </c>
      <c r="H626" s="8">
        <f t="shared" si="31"/>
        <v>0</v>
      </c>
      <c r="I626" s="8">
        <f t="shared" si="32"/>
        <v>0</v>
      </c>
    </row>
    <row r="627" spans="1:9">
      <c r="A627" s="2" t="s">
        <v>628</v>
      </c>
      <c r="B627" s="3">
        <v>45.5</v>
      </c>
      <c r="C627" s="4">
        <v>0.83879999999999999</v>
      </c>
      <c r="G627" s="8">
        <f t="shared" si="30"/>
        <v>0</v>
      </c>
      <c r="H627" s="8">
        <f t="shared" si="31"/>
        <v>0</v>
      </c>
      <c r="I627" s="8">
        <f t="shared" si="32"/>
        <v>0</v>
      </c>
    </row>
    <row r="628" spans="1:9">
      <c r="A628" s="2" t="s">
        <v>629</v>
      </c>
      <c r="B628" s="3">
        <v>51.1</v>
      </c>
      <c r="C628" s="4">
        <v>0.83879999999999999</v>
      </c>
      <c r="G628" s="8">
        <f t="shared" si="30"/>
        <v>0</v>
      </c>
      <c r="H628" s="8">
        <f t="shared" si="31"/>
        <v>0</v>
      </c>
      <c r="I628" s="8">
        <f t="shared" si="32"/>
        <v>0</v>
      </c>
    </row>
    <row r="629" spans="1:9">
      <c r="A629" s="2" t="s">
        <v>630</v>
      </c>
      <c r="B629" s="3">
        <v>56</v>
      </c>
      <c r="C629" s="4">
        <v>0.83879999999999999</v>
      </c>
      <c r="G629" s="8">
        <f t="shared" si="30"/>
        <v>0</v>
      </c>
      <c r="H629" s="8">
        <f t="shared" si="31"/>
        <v>0</v>
      </c>
      <c r="I629" s="8">
        <f t="shared" si="32"/>
        <v>0</v>
      </c>
    </row>
    <row r="630" spans="1:9">
      <c r="A630" s="2" t="s">
        <v>631</v>
      </c>
      <c r="B630" s="3">
        <v>63.4</v>
      </c>
      <c r="C630" s="4">
        <v>0.83879999999999999</v>
      </c>
      <c r="G630" s="8">
        <f t="shared" si="30"/>
        <v>0</v>
      </c>
      <c r="H630" s="8">
        <f t="shared" si="31"/>
        <v>0</v>
      </c>
      <c r="I630" s="8">
        <f t="shared" si="32"/>
        <v>0</v>
      </c>
    </row>
    <row r="631" spans="1:9">
      <c r="A631" s="2" t="s">
        <v>632</v>
      </c>
      <c r="B631" s="3">
        <v>78.400000000000006</v>
      </c>
      <c r="C631" s="4">
        <v>0.83879999999999999</v>
      </c>
      <c r="G631" s="8">
        <f t="shared" si="30"/>
        <v>0</v>
      </c>
      <c r="H631" s="8">
        <f t="shared" si="31"/>
        <v>0</v>
      </c>
      <c r="I631" s="8">
        <f t="shared" si="32"/>
        <v>0</v>
      </c>
    </row>
    <row r="632" spans="1:9">
      <c r="A632" s="2" t="s">
        <v>633</v>
      </c>
      <c r="B632" s="3">
        <v>26.5</v>
      </c>
      <c r="C632" s="4">
        <v>0.85770000000000002</v>
      </c>
      <c r="G632" s="8">
        <f t="shared" si="30"/>
        <v>0</v>
      </c>
      <c r="H632" s="8">
        <f t="shared" si="31"/>
        <v>0</v>
      </c>
      <c r="I632" s="8">
        <f t="shared" si="32"/>
        <v>0</v>
      </c>
    </row>
    <row r="633" spans="1:9">
      <c r="A633" s="2" t="s">
        <v>634</v>
      </c>
      <c r="B633" s="3">
        <v>29.8</v>
      </c>
      <c r="C633" s="4">
        <v>0.85770000000000002</v>
      </c>
      <c r="G633" s="8">
        <f t="shared" si="30"/>
        <v>0</v>
      </c>
      <c r="H633" s="8">
        <f t="shared" si="31"/>
        <v>0</v>
      </c>
      <c r="I633" s="8">
        <f t="shared" si="32"/>
        <v>0</v>
      </c>
    </row>
    <row r="634" spans="1:9">
      <c r="A634" s="2" t="s">
        <v>635</v>
      </c>
      <c r="B634" s="3">
        <v>33</v>
      </c>
      <c r="C634" s="4">
        <v>0.85770000000000002</v>
      </c>
      <c r="G634" s="8">
        <f t="shared" si="30"/>
        <v>0</v>
      </c>
      <c r="H634" s="8">
        <f t="shared" si="31"/>
        <v>0</v>
      </c>
      <c r="I634" s="8">
        <f t="shared" si="32"/>
        <v>0</v>
      </c>
    </row>
    <row r="635" spans="1:9">
      <c r="A635" s="2" t="s">
        <v>636</v>
      </c>
      <c r="B635" s="3">
        <v>36.9</v>
      </c>
      <c r="C635" s="4">
        <v>0.85770000000000002</v>
      </c>
      <c r="G635" s="8">
        <f t="shared" si="30"/>
        <v>0</v>
      </c>
      <c r="H635" s="8">
        <f t="shared" si="31"/>
        <v>0</v>
      </c>
      <c r="I635" s="8">
        <f t="shared" si="32"/>
        <v>0</v>
      </c>
    </row>
    <row r="636" spans="1:9">
      <c r="A636" s="2" t="s">
        <v>637</v>
      </c>
      <c r="B636" s="3">
        <v>41.4</v>
      </c>
      <c r="C636" s="4">
        <v>0.85770000000000002</v>
      </c>
      <c r="G636" s="8">
        <f t="shared" si="30"/>
        <v>0</v>
      </c>
      <c r="H636" s="8">
        <f t="shared" si="31"/>
        <v>0</v>
      </c>
      <c r="I636" s="8">
        <f t="shared" si="32"/>
        <v>0</v>
      </c>
    </row>
    <row r="637" spans="1:9">
      <c r="A637" s="2" t="s">
        <v>638</v>
      </c>
      <c r="B637" s="3">
        <v>46.6</v>
      </c>
      <c r="C637" s="4">
        <v>0.85770000000000002</v>
      </c>
      <c r="G637" s="8">
        <f t="shared" si="30"/>
        <v>0</v>
      </c>
      <c r="H637" s="8">
        <f t="shared" si="31"/>
        <v>0</v>
      </c>
      <c r="I637" s="8">
        <f t="shared" si="32"/>
        <v>0</v>
      </c>
    </row>
    <row r="638" spans="1:9">
      <c r="A638" s="2" t="s">
        <v>639</v>
      </c>
      <c r="B638" s="3">
        <v>52.3</v>
      </c>
      <c r="C638" s="4">
        <v>0.85770000000000002</v>
      </c>
      <c r="G638" s="8">
        <f t="shared" si="30"/>
        <v>0</v>
      </c>
      <c r="H638" s="8">
        <f t="shared" si="31"/>
        <v>0</v>
      </c>
      <c r="I638" s="8">
        <f t="shared" si="32"/>
        <v>0</v>
      </c>
    </row>
    <row r="639" spans="1:9">
      <c r="A639" s="2" t="s">
        <v>640</v>
      </c>
      <c r="B639" s="3">
        <v>57.3</v>
      </c>
      <c r="C639" s="4">
        <v>0.85770000000000002</v>
      </c>
      <c r="G639" s="8">
        <f t="shared" si="30"/>
        <v>0</v>
      </c>
      <c r="H639" s="8">
        <f t="shared" si="31"/>
        <v>0</v>
      </c>
      <c r="I639" s="8">
        <f t="shared" si="32"/>
        <v>0</v>
      </c>
    </row>
    <row r="640" spans="1:9">
      <c r="A640" s="2" t="s">
        <v>641</v>
      </c>
      <c r="B640" s="3">
        <v>64.900000000000006</v>
      </c>
      <c r="C640" s="4">
        <v>0.85770000000000002</v>
      </c>
      <c r="G640" s="8">
        <f t="shared" si="30"/>
        <v>0</v>
      </c>
      <c r="H640" s="8">
        <f t="shared" si="31"/>
        <v>0</v>
      </c>
      <c r="I640" s="8">
        <f t="shared" si="32"/>
        <v>0</v>
      </c>
    </row>
    <row r="641" spans="1:9">
      <c r="A641" s="2" t="s">
        <v>642</v>
      </c>
      <c r="B641" s="3">
        <v>80.3</v>
      </c>
      <c r="C641" s="4">
        <v>0.85770000000000002</v>
      </c>
      <c r="D641" s="7">
        <v>5.6</v>
      </c>
      <c r="E641" s="7">
        <v>6.1</v>
      </c>
      <c r="F641" s="7">
        <v>6.6</v>
      </c>
      <c r="G641" s="8">
        <f t="shared" si="30"/>
        <v>7.95</v>
      </c>
      <c r="H641" s="8">
        <f t="shared" si="31"/>
        <v>9.15</v>
      </c>
      <c r="I641" s="8">
        <f t="shared" si="32"/>
        <v>12.200000000000001</v>
      </c>
    </row>
    <row r="642" spans="1:9">
      <c r="A642" s="2" t="s">
        <v>643</v>
      </c>
      <c r="B642" s="3">
        <v>153</v>
      </c>
      <c r="C642" s="4">
        <v>0.85770000000000002</v>
      </c>
      <c r="D642" s="7">
        <v>10.4</v>
      </c>
      <c r="E642" s="7">
        <v>11</v>
      </c>
      <c r="F642" s="7">
        <v>11.5</v>
      </c>
      <c r="G642" s="8">
        <f t="shared" ref="G642:G705" si="33">MROUND($E642*1.3,0.05)</f>
        <v>14.3</v>
      </c>
      <c r="H642" s="8">
        <f t="shared" ref="H642:H705" si="34">MROUND($E642*1.5,0.05)</f>
        <v>16.5</v>
      </c>
      <c r="I642" s="8">
        <f t="shared" ref="I642:I705" si="35">MROUND($E642*2,0.05)</f>
        <v>22</v>
      </c>
    </row>
    <row r="643" spans="1:9">
      <c r="A643" s="2" t="s">
        <v>644</v>
      </c>
      <c r="B643" s="3">
        <v>29</v>
      </c>
      <c r="C643" s="4">
        <v>0.93779999999999997</v>
      </c>
      <c r="G643" s="8">
        <f t="shared" si="33"/>
        <v>0</v>
      </c>
      <c r="H643" s="8">
        <f t="shared" si="34"/>
        <v>0</v>
      </c>
      <c r="I643" s="8">
        <f t="shared" si="35"/>
        <v>0</v>
      </c>
    </row>
    <row r="644" spans="1:9">
      <c r="A644" s="2" t="s">
        <v>645</v>
      </c>
      <c r="B644" s="3">
        <v>32.6</v>
      </c>
      <c r="C644" s="4">
        <v>0.93779999999999997</v>
      </c>
      <c r="G644" s="8">
        <f t="shared" si="33"/>
        <v>0</v>
      </c>
      <c r="H644" s="8">
        <f t="shared" si="34"/>
        <v>0</v>
      </c>
      <c r="I644" s="8">
        <f t="shared" si="35"/>
        <v>0</v>
      </c>
    </row>
    <row r="645" spans="1:9">
      <c r="A645" s="2" t="s">
        <v>646</v>
      </c>
      <c r="B645" s="3">
        <v>36.200000000000003</v>
      </c>
      <c r="C645" s="4">
        <v>0.93779999999999997</v>
      </c>
      <c r="G645" s="8">
        <f t="shared" si="33"/>
        <v>0</v>
      </c>
      <c r="H645" s="8">
        <f t="shared" si="34"/>
        <v>0</v>
      </c>
      <c r="I645" s="8">
        <f t="shared" si="35"/>
        <v>0</v>
      </c>
    </row>
    <row r="646" spans="1:9">
      <c r="A646" s="2" t="s">
        <v>647</v>
      </c>
      <c r="B646" s="3">
        <v>40.4</v>
      </c>
      <c r="C646" s="4">
        <v>0.93779999999999997</v>
      </c>
      <c r="G646" s="8">
        <f t="shared" si="33"/>
        <v>0</v>
      </c>
      <c r="H646" s="8">
        <f t="shared" si="34"/>
        <v>0</v>
      </c>
      <c r="I646" s="8">
        <f t="shared" si="35"/>
        <v>0</v>
      </c>
    </row>
    <row r="647" spans="1:9">
      <c r="A647" s="2" t="s">
        <v>648</v>
      </c>
      <c r="B647" s="3">
        <v>45.4</v>
      </c>
      <c r="C647" s="4">
        <v>0.93779999999999997</v>
      </c>
      <c r="G647" s="8">
        <f t="shared" si="33"/>
        <v>0</v>
      </c>
      <c r="H647" s="8">
        <f t="shared" si="34"/>
        <v>0</v>
      </c>
      <c r="I647" s="8">
        <f t="shared" si="35"/>
        <v>0</v>
      </c>
    </row>
    <row r="648" spans="1:9">
      <c r="A648" s="2" t="s">
        <v>649</v>
      </c>
      <c r="B648" s="3">
        <v>51</v>
      </c>
      <c r="C648" s="4">
        <v>0.93779999999999997</v>
      </c>
      <c r="G648" s="8">
        <f t="shared" si="33"/>
        <v>0</v>
      </c>
      <c r="H648" s="8">
        <f t="shared" si="34"/>
        <v>0</v>
      </c>
      <c r="I648" s="8">
        <f t="shared" si="35"/>
        <v>0</v>
      </c>
    </row>
    <row r="649" spans="1:9">
      <c r="A649" s="2" t="s">
        <v>650</v>
      </c>
      <c r="B649" s="3">
        <v>57.3</v>
      </c>
      <c r="C649" s="4">
        <v>0.93779999999999997</v>
      </c>
      <c r="G649" s="8">
        <f t="shared" si="33"/>
        <v>0</v>
      </c>
      <c r="H649" s="8">
        <f t="shared" si="34"/>
        <v>0</v>
      </c>
      <c r="I649" s="8">
        <f t="shared" si="35"/>
        <v>0</v>
      </c>
    </row>
    <row r="650" spans="1:9">
      <c r="A650" s="2" t="s">
        <v>651</v>
      </c>
      <c r="B650" s="3">
        <v>62.9</v>
      </c>
      <c r="C650" s="4">
        <v>0.93779999999999997</v>
      </c>
      <c r="G650" s="8">
        <f t="shared" si="33"/>
        <v>0</v>
      </c>
      <c r="H650" s="8">
        <f t="shared" si="34"/>
        <v>0</v>
      </c>
      <c r="I650" s="8">
        <f t="shared" si="35"/>
        <v>0</v>
      </c>
    </row>
    <row r="651" spans="1:9">
      <c r="A651" s="2" t="s">
        <v>652</v>
      </c>
      <c r="B651" s="3">
        <v>71.099999999999994</v>
      </c>
      <c r="C651" s="4">
        <v>0.93779999999999997</v>
      </c>
      <c r="G651" s="8">
        <f t="shared" si="33"/>
        <v>0</v>
      </c>
      <c r="H651" s="8">
        <f t="shared" si="34"/>
        <v>0</v>
      </c>
      <c r="I651" s="8">
        <f t="shared" si="35"/>
        <v>0</v>
      </c>
    </row>
    <row r="652" spans="1:9">
      <c r="A652" s="2" t="s">
        <v>653</v>
      </c>
      <c r="B652" s="3">
        <v>88.2</v>
      </c>
      <c r="C652" s="4">
        <v>0.93799999999999994</v>
      </c>
      <c r="G652" s="8">
        <f t="shared" si="33"/>
        <v>0</v>
      </c>
      <c r="H652" s="8">
        <f t="shared" si="34"/>
        <v>0</v>
      </c>
      <c r="I652" s="8">
        <f t="shared" si="35"/>
        <v>0</v>
      </c>
    </row>
    <row r="653" spans="1:9">
      <c r="A653" s="2" t="s">
        <v>654</v>
      </c>
      <c r="B653" s="3">
        <v>137</v>
      </c>
      <c r="C653" s="4">
        <v>0.93799999999999994</v>
      </c>
      <c r="D653" s="7">
        <v>8</v>
      </c>
      <c r="E653" s="7">
        <v>8.5</v>
      </c>
      <c r="F653" s="7">
        <v>9</v>
      </c>
      <c r="G653" s="8">
        <f t="shared" si="33"/>
        <v>11.05</v>
      </c>
      <c r="H653" s="8">
        <f t="shared" si="34"/>
        <v>12.75</v>
      </c>
      <c r="I653" s="8">
        <f t="shared" si="35"/>
        <v>17</v>
      </c>
    </row>
    <row r="654" spans="1:9">
      <c r="A654" s="2" t="s">
        <v>655</v>
      </c>
      <c r="B654" s="3">
        <v>31.6</v>
      </c>
      <c r="C654" s="4">
        <v>1.0176000000000001</v>
      </c>
      <c r="G654" s="8">
        <f t="shared" si="33"/>
        <v>0</v>
      </c>
      <c r="H654" s="8">
        <f t="shared" si="34"/>
        <v>0</v>
      </c>
      <c r="I654" s="8">
        <f t="shared" si="35"/>
        <v>0</v>
      </c>
    </row>
    <row r="655" spans="1:9">
      <c r="A655" s="2" t="s">
        <v>656</v>
      </c>
      <c r="B655" s="3">
        <v>35.4</v>
      </c>
      <c r="C655" s="4">
        <v>1.0176000000000001</v>
      </c>
      <c r="G655" s="8">
        <f t="shared" si="33"/>
        <v>0</v>
      </c>
      <c r="H655" s="8">
        <f t="shared" si="34"/>
        <v>0</v>
      </c>
      <c r="I655" s="8">
        <f t="shared" si="35"/>
        <v>0</v>
      </c>
    </row>
    <row r="656" spans="1:9">
      <c r="A656" s="2" t="s">
        <v>657</v>
      </c>
      <c r="B656" s="3">
        <v>39.299999999999997</v>
      </c>
      <c r="C656" s="4">
        <v>1.0176000000000001</v>
      </c>
      <c r="G656" s="8">
        <f t="shared" si="33"/>
        <v>0</v>
      </c>
      <c r="H656" s="8">
        <f t="shared" si="34"/>
        <v>0</v>
      </c>
      <c r="I656" s="8">
        <f t="shared" si="35"/>
        <v>0</v>
      </c>
    </row>
    <row r="657" spans="1:9">
      <c r="A657" s="2" t="s">
        <v>658</v>
      </c>
      <c r="B657" s="3">
        <v>44</v>
      </c>
      <c r="C657" s="4">
        <v>1.0176000000000001</v>
      </c>
      <c r="G657" s="8">
        <f t="shared" si="33"/>
        <v>0</v>
      </c>
      <c r="H657" s="8">
        <f t="shared" si="34"/>
        <v>0</v>
      </c>
      <c r="I657" s="8">
        <f t="shared" si="35"/>
        <v>0</v>
      </c>
    </row>
    <row r="658" spans="1:9">
      <c r="A658" s="2" t="s">
        <v>659</v>
      </c>
      <c r="B658" s="3">
        <v>49.3</v>
      </c>
      <c r="C658" s="4">
        <v>1.0176000000000001</v>
      </c>
      <c r="G658" s="8">
        <f t="shared" si="33"/>
        <v>0</v>
      </c>
      <c r="H658" s="8">
        <f t="shared" si="34"/>
        <v>0</v>
      </c>
      <c r="I658" s="8">
        <f t="shared" si="35"/>
        <v>0</v>
      </c>
    </row>
    <row r="659" spans="1:9">
      <c r="A659" s="2" t="s">
        <v>660</v>
      </c>
      <c r="B659" s="3">
        <v>55.5</v>
      </c>
      <c r="C659" s="4">
        <v>1.0176000000000001</v>
      </c>
      <c r="G659" s="8">
        <f t="shared" si="33"/>
        <v>0</v>
      </c>
      <c r="H659" s="8">
        <f t="shared" si="34"/>
        <v>0</v>
      </c>
      <c r="I659" s="8">
        <f t="shared" si="35"/>
        <v>0</v>
      </c>
    </row>
    <row r="660" spans="1:9">
      <c r="A660" s="2" t="s">
        <v>661</v>
      </c>
      <c r="B660" s="3">
        <v>62.3</v>
      </c>
      <c r="C660" s="4">
        <v>1.0176000000000001</v>
      </c>
      <c r="G660" s="8">
        <f t="shared" si="33"/>
        <v>0</v>
      </c>
      <c r="H660" s="8">
        <f t="shared" si="34"/>
        <v>0</v>
      </c>
      <c r="I660" s="8">
        <f t="shared" si="35"/>
        <v>0</v>
      </c>
    </row>
    <row r="661" spans="1:9">
      <c r="A661" s="2" t="s">
        <v>662</v>
      </c>
      <c r="B661" s="3">
        <v>68.400000000000006</v>
      </c>
      <c r="C661" s="4">
        <v>1.0176000000000001</v>
      </c>
      <c r="G661" s="8">
        <f t="shared" si="33"/>
        <v>0</v>
      </c>
      <c r="H661" s="8">
        <f t="shared" si="34"/>
        <v>0</v>
      </c>
      <c r="I661" s="8">
        <f t="shared" si="35"/>
        <v>0</v>
      </c>
    </row>
    <row r="662" spans="1:9">
      <c r="A662" s="2" t="s">
        <v>663</v>
      </c>
      <c r="B662" s="3">
        <v>77.400000000000006</v>
      </c>
      <c r="C662" s="4">
        <v>1.0176000000000001</v>
      </c>
      <c r="G662" s="8">
        <f t="shared" si="33"/>
        <v>0</v>
      </c>
      <c r="H662" s="8">
        <f t="shared" si="34"/>
        <v>0</v>
      </c>
      <c r="I662" s="8">
        <f t="shared" si="35"/>
        <v>0</v>
      </c>
    </row>
    <row r="663" spans="1:9">
      <c r="A663" s="2" t="s">
        <v>664</v>
      </c>
      <c r="B663" s="3">
        <v>96</v>
      </c>
      <c r="C663" s="4">
        <v>1.0176000000000001</v>
      </c>
      <c r="G663" s="8">
        <f t="shared" si="33"/>
        <v>0</v>
      </c>
      <c r="H663" s="8">
        <f t="shared" si="34"/>
        <v>0</v>
      </c>
      <c r="I663" s="8">
        <f t="shared" si="35"/>
        <v>0</v>
      </c>
    </row>
    <row r="664" spans="1:9">
      <c r="A664" s="2" t="s">
        <v>665</v>
      </c>
      <c r="B664" s="3">
        <v>34.700000000000003</v>
      </c>
      <c r="C664" s="4">
        <v>1.1172</v>
      </c>
      <c r="G664" s="8">
        <f t="shared" si="33"/>
        <v>0</v>
      </c>
      <c r="H664" s="8">
        <f t="shared" si="34"/>
        <v>0</v>
      </c>
      <c r="I664" s="8">
        <f t="shared" si="35"/>
        <v>0</v>
      </c>
    </row>
    <row r="665" spans="1:9">
      <c r="A665" s="2" t="s">
        <v>666</v>
      </c>
      <c r="B665" s="3">
        <v>39</v>
      </c>
      <c r="C665" s="4">
        <v>1.1172</v>
      </c>
      <c r="G665" s="8">
        <f t="shared" si="33"/>
        <v>0</v>
      </c>
      <c r="H665" s="8">
        <f t="shared" si="34"/>
        <v>0</v>
      </c>
      <c r="I665" s="8">
        <f t="shared" si="35"/>
        <v>0</v>
      </c>
    </row>
    <row r="666" spans="1:9">
      <c r="A666" s="2" t="s">
        <v>667</v>
      </c>
      <c r="B666" s="3">
        <v>43.2</v>
      </c>
      <c r="C666" s="4">
        <v>1.1172</v>
      </c>
      <c r="G666" s="8">
        <f t="shared" si="33"/>
        <v>0</v>
      </c>
      <c r="H666" s="8">
        <f t="shared" si="34"/>
        <v>0</v>
      </c>
      <c r="I666" s="8">
        <f t="shared" si="35"/>
        <v>0</v>
      </c>
    </row>
    <row r="667" spans="1:9">
      <c r="A667" s="2" t="s">
        <v>668</v>
      </c>
      <c r="B667" s="3">
        <v>48.3</v>
      </c>
      <c r="C667" s="4">
        <v>1.1172</v>
      </c>
      <c r="G667" s="8">
        <f t="shared" si="33"/>
        <v>0</v>
      </c>
      <c r="H667" s="8">
        <f t="shared" si="34"/>
        <v>0</v>
      </c>
      <c r="I667" s="8">
        <f t="shared" si="35"/>
        <v>0</v>
      </c>
    </row>
    <row r="668" spans="1:9">
      <c r="A668" s="2" t="s">
        <v>669</v>
      </c>
      <c r="B668" s="3">
        <v>54.3</v>
      </c>
      <c r="C668" s="4">
        <v>1.1172</v>
      </c>
      <c r="G668" s="8">
        <f t="shared" si="33"/>
        <v>0</v>
      </c>
      <c r="H668" s="8">
        <f t="shared" si="34"/>
        <v>0</v>
      </c>
      <c r="I668" s="8">
        <f t="shared" si="35"/>
        <v>0</v>
      </c>
    </row>
    <row r="669" spans="1:9">
      <c r="A669" s="2" t="s">
        <v>670</v>
      </c>
      <c r="B669" s="3">
        <v>61</v>
      </c>
      <c r="C669" s="4">
        <v>1.1172</v>
      </c>
      <c r="G669" s="8">
        <f t="shared" si="33"/>
        <v>0</v>
      </c>
      <c r="H669" s="8">
        <f t="shared" si="34"/>
        <v>0</v>
      </c>
      <c r="I669" s="8">
        <f t="shared" si="35"/>
        <v>0</v>
      </c>
    </row>
    <row r="670" spans="1:9">
      <c r="A670" s="2" t="s">
        <v>671</v>
      </c>
      <c r="B670" s="3">
        <v>68.599999999999994</v>
      </c>
      <c r="C670" s="4">
        <v>1.1172</v>
      </c>
      <c r="G670" s="8">
        <f t="shared" si="33"/>
        <v>0</v>
      </c>
      <c r="H670" s="8">
        <f t="shared" si="34"/>
        <v>0</v>
      </c>
      <c r="I670" s="8">
        <f t="shared" si="35"/>
        <v>0</v>
      </c>
    </row>
    <row r="671" spans="1:9">
      <c r="A671" s="2" t="s">
        <v>672</v>
      </c>
      <c r="B671" s="3">
        <v>75.3</v>
      </c>
      <c r="C671" s="4">
        <v>1.1172</v>
      </c>
      <c r="G671" s="8">
        <f t="shared" si="33"/>
        <v>0</v>
      </c>
      <c r="H671" s="8">
        <f t="shared" si="34"/>
        <v>0</v>
      </c>
      <c r="I671" s="8">
        <f t="shared" si="35"/>
        <v>0</v>
      </c>
    </row>
    <row r="672" spans="1:9">
      <c r="A672" s="2" t="s">
        <v>673</v>
      </c>
      <c r="B672" s="3">
        <v>85.2</v>
      </c>
      <c r="C672" s="4">
        <v>1.1172</v>
      </c>
      <c r="D672" s="7">
        <v>4.4000000000000004</v>
      </c>
      <c r="E672" s="7">
        <v>4.9000000000000004</v>
      </c>
      <c r="F672" s="7">
        <v>5.4</v>
      </c>
      <c r="G672" s="8">
        <f t="shared" si="33"/>
        <v>6.3500000000000005</v>
      </c>
      <c r="H672" s="8">
        <f t="shared" si="34"/>
        <v>7.3500000000000005</v>
      </c>
      <c r="I672" s="8">
        <f t="shared" si="35"/>
        <v>9.8000000000000007</v>
      </c>
    </row>
    <row r="673" spans="1:9">
      <c r="A673" s="2" t="s">
        <v>674</v>
      </c>
      <c r="B673" s="3">
        <v>106</v>
      </c>
      <c r="C673" s="4">
        <v>1.1172</v>
      </c>
      <c r="D673" s="7">
        <v>6.4</v>
      </c>
      <c r="E673" s="7">
        <v>6.9</v>
      </c>
      <c r="F673" s="7">
        <v>7.4</v>
      </c>
      <c r="G673" s="8">
        <f t="shared" si="33"/>
        <v>8.9500000000000011</v>
      </c>
      <c r="H673" s="8">
        <f t="shared" si="34"/>
        <v>10.350000000000001</v>
      </c>
      <c r="I673" s="8">
        <f t="shared" si="35"/>
        <v>13.8</v>
      </c>
    </row>
    <row r="674" spans="1:9">
      <c r="A674" s="2" t="s">
        <v>675</v>
      </c>
      <c r="B674" s="3">
        <v>35.9</v>
      </c>
      <c r="C674" s="4">
        <v>1.1560999999999999</v>
      </c>
      <c r="G674" s="8">
        <f t="shared" si="33"/>
        <v>0</v>
      </c>
      <c r="H674" s="8">
        <f t="shared" si="34"/>
        <v>0</v>
      </c>
      <c r="I674" s="8">
        <f t="shared" si="35"/>
        <v>0</v>
      </c>
    </row>
    <row r="675" spans="1:9">
      <c r="A675" s="2" t="s">
        <v>676</v>
      </c>
      <c r="B675" s="3">
        <v>40.299999999999997</v>
      </c>
      <c r="C675" s="4">
        <v>1.1560999999999999</v>
      </c>
      <c r="G675" s="8">
        <f t="shared" si="33"/>
        <v>0</v>
      </c>
      <c r="H675" s="8">
        <f t="shared" si="34"/>
        <v>0</v>
      </c>
      <c r="I675" s="8">
        <f t="shared" si="35"/>
        <v>0</v>
      </c>
    </row>
    <row r="676" spans="1:9">
      <c r="A676" s="2" t="s">
        <v>677</v>
      </c>
      <c r="B676" s="3">
        <v>44.8</v>
      </c>
      <c r="C676" s="4">
        <v>1.1560999999999999</v>
      </c>
      <c r="G676" s="8">
        <f t="shared" si="33"/>
        <v>0</v>
      </c>
      <c r="H676" s="8">
        <f t="shared" si="34"/>
        <v>0</v>
      </c>
      <c r="I676" s="8">
        <f t="shared" si="35"/>
        <v>0</v>
      </c>
    </row>
    <row r="677" spans="1:9">
      <c r="A677" s="2" t="s">
        <v>678</v>
      </c>
      <c r="B677" s="3">
        <v>50</v>
      </c>
      <c r="C677" s="4">
        <v>1.1560999999999999</v>
      </c>
      <c r="G677" s="8">
        <f t="shared" si="33"/>
        <v>0</v>
      </c>
      <c r="H677" s="8">
        <f t="shared" si="34"/>
        <v>0</v>
      </c>
      <c r="I677" s="8">
        <f t="shared" si="35"/>
        <v>0</v>
      </c>
    </row>
    <row r="678" spans="1:9">
      <c r="A678" s="2" t="s">
        <v>679</v>
      </c>
      <c r="B678" s="3">
        <v>56.2</v>
      </c>
      <c r="C678" s="4">
        <v>1.1560999999999999</v>
      </c>
      <c r="G678" s="8">
        <f t="shared" si="33"/>
        <v>0</v>
      </c>
      <c r="H678" s="8">
        <f t="shared" si="34"/>
        <v>0</v>
      </c>
      <c r="I678" s="8">
        <f t="shared" si="35"/>
        <v>0</v>
      </c>
    </row>
    <row r="679" spans="1:9">
      <c r="A679" s="2" t="s">
        <v>680</v>
      </c>
      <c r="B679" s="3">
        <v>63.2</v>
      </c>
      <c r="C679" s="4">
        <v>1.1560999999999999</v>
      </c>
      <c r="G679" s="8">
        <f t="shared" si="33"/>
        <v>0</v>
      </c>
      <c r="H679" s="8">
        <f t="shared" si="34"/>
        <v>0</v>
      </c>
      <c r="I679" s="8">
        <f t="shared" si="35"/>
        <v>0</v>
      </c>
    </row>
    <row r="680" spans="1:9">
      <c r="A680" s="2" t="s">
        <v>681</v>
      </c>
      <c r="B680" s="3">
        <v>71</v>
      </c>
      <c r="C680" s="4">
        <v>1.1560999999999999</v>
      </c>
      <c r="G680" s="8">
        <f t="shared" si="33"/>
        <v>0</v>
      </c>
      <c r="H680" s="8">
        <f t="shared" si="34"/>
        <v>0</v>
      </c>
      <c r="I680" s="8">
        <f t="shared" si="35"/>
        <v>0</v>
      </c>
    </row>
    <row r="681" spans="1:9">
      <c r="A681" s="2" t="s">
        <v>682</v>
      </c>
      <c r="B681" s="3">
        <v>77.900000000000006</v>
      </c>
      <c r="C681" s="4">
        <v>1.1560999999999999</v>
      </c>
      <c r="G681" s="8">
        <f t="shared" si="33"/>
        <v>0</v>
      </c>
      <c r="H681" s="8">
        <f t="shared" si="34"/>
        <v>0</v>
      </c>
      <c r="I681" s="8">
        <f t="shared" si="35"/>
        <v>0</v>
      </c>
    </row>
    <row r="682" spans="1:9">
      <c r="A682" s="2" t="s">
        <v>683</v>
      </c>
      <c r="B682" s="3">
        <v>88.3</v>
      </c>
      <c r="C682" s="4">
        <v>1.1560999999999999</v>
      </c>
      <c r="G682" s="8">
        <f t="shared" si="33"/>
        <v>0</v>
      </c>
      <c r="H682" s="8">
        <f t="shared" si="34"/>
        <v>0</v>
      </c>
      <c r="I682" s="8">
        <f t="shared" si="35"/>
        <v>0</v>
      </c>
    </row>
    <row r="683" spans="1:9">
      <c r="A683" s="2" t="s">
        <v>684</v>
      </c>
      <c r="B683" s="3">
        <v>110</v>
      </c>
      <c r="C683" s="4">
        <v>1.1560999999999999</v>
      </c>
      <c r="G683" s="8">
        <f t="shared" si="33"/>
        <v>0</v>
      </c>
      <c r="H683" s="8">
        <f t="shared" si="34"/>
        <v>0</v>
      </c>
      <c r="I683" s="8">
        <f t="shared" si="35"/>
        <v>0</v>
      </c>
    </row>
    <row r="684" spans="1:9">
      <c r="A684" s="2" t="s">
        <v>685</v>
      </c>
      <c r="B684" s="3">
        <v>191</v>
      </c>
      <c r="C684" s="4">
        <v>1.2769999999999999</v>
      </c>
      <c r="D684" s="7">
        <v>9.6</v>
      </c>
      <c r="E684" s="7">
        <v>10.1</v>
      </c>
      <c r="F684" s="7">
        <v>10.6</v>
      </c>
      <c r="G684" s="8">
        <f t="shared" si="33"/>
        <v>13.15</v>
      </c>
      <c r="H684" s="8">
        <f t="shared" si="34"/>
        <v>15.15</v>
      </c>
      <c r="I684" s="8">
        <f t="shared" si="35"/>
        <v>20.200000000000003</v>
      </c>
    </row>
    <row r="685" spans="1:9">
      <c r="A685" s="2" t="s">
        <v>686</v>
      </c>
      <c r="B685" s="3">
        <v>361</v>
      </c>
      <c r="C685" s="4">
        <v>1.2769999999999999</v>
      </c>
      <c r="D685" s="7">
        <v>24.9</v>
      </c>
      <c r="E685" s="7">
        <v>25.4</v>
      </c>
      <c r="F685" s="7">
        <v>25.9</v>
      </c>
      <c r="G685" s="8">
        <f t="shared" si="33"/>
        <v>33</v>
      </c>
      <c r="H685" s="8">
        <f t="shared" si="34"/>
        <v>38.1</v>
      </c>
      <c r="I685" s="8">
        <f t="shared" si="35"/>
        <v>50.800000000000004</v>
      </c>
    </row>
    <row r="686" spans="1:9">
      <c r="A686" s="2" t="s">
        <v>687</v>
      </c>
      <c r="B686" s="3">
        <v>8.64</v>
      </c>
      <c r="C686" s="4">
        <v>0.312</v>
      </c>
      <c r="D686" s="7">
        <v>0.7</v>
      </c>
      <c r="E686" s="7">
        <v>0.85</v>
      </c>
      <c r="F686" s="7">
        <v>1</v>
      </c>
      <c r="G686" s="8">
        <f t="shared" si="33"/>
        <v>1.1000000000000001</v>
      </c>
      <c r="H686" s="8">
        <f t="shared" si="34"/>
        <v>1.3</v>
      </c>
      <c r="I686" s="8">
        <f t="shared" si="35"/>
        <v>1.7000000000000002</v>
      </c>
    </row>
    <row r="687" spans="1:9">
      <c r="A687" s="2" t="s">
        <v>688</v>
      </c>
      <c r="B687" s="3">
        <v>10.6</v>
      </c>
      <c r="C687" s="4">
        <v>0.372</v>
      </c>
      <c r="D687" s="7">
        <v>0.85</v>
      </c>
      <c r="E687" s="7">
        <v>1</v>
      </c>
      <c r="F687" s="7">
        <v>1.1499999999999999</v>
      </c>
      <c r="G687" s="8">
        <f t="shared" si="33"/>
        <v>1.3</v>
      </c>
      <c r="H687" s="8">
        <f t="shared" si="34"/>
        <v>1.5</v>
      </c>
      <c r="I687" s="8">
        <f t="shared" si="35"/>
        <v>2</v>
      </c>
    </row>
    <row r="688" spans="1:9">
      <c r="A688" s="2" t="s">
        <v>689</v>
      </c>
      <c r="B688" s="3">
        <v>13.4</v>
      </c>
      <c r="C688" s="4">
        <v>0.434</v>
      </c>
      <c r="D688" s="7">
        <v>1.1000000000000001</v>
      </c>
      <c r="E688" s="7">
        <v>1.2</v>
      </c>
      <c r="F688" s="7">
        <v>1.3</v>
      </c>
      <c r="G688" s="8">
        <f t="shared" si="33"/>
        <v>1.55</v>
      </c>
      <c r="H688" s="8">
        <f t="shared" si="34"/>
        <v>1.8</v>
      </c>
      <c r="I688" s="8">
        <f t="shared" si="35"/>
        <v>2.4000000000000004</v>
      </c>
    </row>
    <row r="689" spans="1:9">
      <c r="A689" s="2" t="s">
        <v>690</v>
      </c>
      <c r="B689" s="3">
        <v>16</v>
      </c>
      <c r="C689" s="4">
        <v>0.48899999999999999</v>
      </c>
      <c r="D689" s="7">
        <v>1.3</v>
      </c>
      <c r="E689" s="7">
        <v>1.42</v>
      </c>
      <c r="F689" s="7">
        <v>1.55</v>
      </c>
      <c r="G689" s="8">
        <f t="shared" si="33"/>
        <v>1.85</v>
      </c>
      <c r="H689" s="8">
        <f t="shared" si="34"/>
        <v>2.15</v>
      </c>
      <c r="I689" s="8">
        <f t="shared" si="35"/>
        <v>2.85</v>
      </c>
    </row>
    <row r="690" spans="1:9">
      <c r="A690" s="2" t="s">
        <v>691</v>
      </c>
      <c r="B690" s="3">
        <v>18.8</v>
      </c>
      <c r="C690" s="4">
        <v>0.54600000000000004</v>
      </c>
      <c r="D690" s="7">
        <v>1.5</v>
      </c>
      <c r="E690" s="7">
        <v>1.65</v>
      </c>
      <c r="F690" s="7">
        <v>1.8</v>
      </c>
      <c r="G690" s="8">
        <f t="shared" si="33"/>
        <v>2.15</v>
      </c>
      <c r="H690" s="8">
        <f t="shared" si="34"/>
        <v>2.4500000000000002</v>
      </c>
      <c r="I690" s="8">
        <f t="shared" si="35"/>
        <v>3.3000000000000003</v>
      </c>
    </row>
    <row r="691" spans="1:9">
      <c r="A691" s="2" t="s">
        <v>692</v>
      </c>
      <c r="B691" s="3">
        <v>22</v>
      </c>
      <c r="C691" s="4">
        <v>0.61099999999999999</v>
      </c>
      <c r="D691" s="7">
        <v>1.7</v>
      </c>
      <c r="E691" s="7">
        <v>1.85</v>
      </c>
      <c r="F691" s="7">
        <v>2</v>
      </c>
      <c r="G691" s="8">
        <f t="shared" si="33"/>
        <v>2.4000000000000004</v>
      </c>
      <c r="H691" s="8">
        <f t="shared" si="34"/>
        <v>2.8000000000000003</v>
      </c>
      <c r="I691" s="8">
        <f t="shared" si="35"/>
        <v>3.7</v>
      </c>
    </row>
    <row r="692" spans="1:9">
      <c r="A692" s="2" t="s">
        <v>693</v>
      </c>
      <c r="B692" s="3">
        <v>25.3</v>
      </c>
      <c r="C692" s="4">
        <v>0.66100000000000003</v>
      </c>
      <c r="D692" s="7">
        <v>1.9</v>
      </c>
      <c r="E692" s="7">
        <v>2.0499999999999998</v>
      </c>
      <c r="F692" s="7">
        <v>2.2000000000000002</v>
      </c>
      <c r="G692" s="8">
        <f t="shared" si="33"/>
        <v>2.6500000000000004</v>
      </c>
      <c r="H692" s="8">
        <f t="shared" si="34"/>
        <v>3.0500000000000003</v>
      </c>
      <c r="I692" s="8">
        <f t="shared" si="35"/>
        <v>4.1000000000000005</v>
      </c>
    </row>
    <row r="693" spans="1:9">
      <c r="A693" s="2" t="s">
        <v>694</v>
      </c>
      <c r="B693" s="3">
        <v>29.4</v>
      </c>
      <c r="C693" s="4">
        <v>0.71799999999999997</v>
      </c>
      <c r="D693" s="7">
        <v>2.0499999999999998</v>
      </c>
      <c r="E693" s="7">
        <v>2.2200000000000002</v>
      </c>
      <c r="F693" s="7">
        <v>2.4</v>
      </c>
      <c r="G693" s="8">
        <f t="shared" si="33"/>
        <v>2.9000000000000004</v>
      </c>
      <c r="H693" s="8">
        <f t="shared" si="34"/>
        <v>3.35</v>
      </c>
      <c r="I693" s="8">
        <f t="shared" si="35"/>
        <v>4.45</v>
      </c>
    </row>
    <row r="694" spans="1:9">
      <c r="A694" s="2" t="s">
        <v>695</v>
      </c>
      <c r="B694" s="3">
        <v>33.200000000000003</v>
      </c>
      <c r="C694" s="4">
        <v>0.77500000000000002</v>
      </c>
      <c r="D694" s="7">
        <v>2.2000000000000002</v>
      </c>
      <c r="E694" s="7">
        <v>2.37</v>
      </c>
      <c r="F694" s="7">
        <v>2.5499999999999998</v>
      </c>
      <c r="G694" s="8">
        <f t="shared" si="33"/>
        <v>3.1</v>
      </c>
      <c r="H694" s="8">
        <f t="shared" si="34"/>
        <v>3.5500000000000003</v>
      </c>
      <c r="I694" s="8">
        <f t="shared" si="35"/>
        <v>4.75</v>
      </c>
    </row>
    <row r="695" spans="1:9">
      <c r="A695" s="2" t="s">
        <v>696</v>
      </c>
      <c r="B695" s="3">
        <v>37.9</v>
      </c>
      <c r="C695" s="4">
        <v>0.83399999999999996</v>
      </c>
      <c r="D695" s="7">
        <v>2.35</v>
      </c>
      <c r="E695" s="7">
        <v>2.52</v>
      </c>
      <c r="F695" s="7">
        <v>2.7</v>
      </c>
      <c r="G695" s="8">
        <f t="shared" si="33"/>
        <v>3.3000000000000003</v>
      </c>
      <c r="H695" s="8">
        <f t="shared" si="34"/>
        <v>3.8000000000000003</v>
      </c>
      <c r="I695" s="8">
        <f t="shared" si="35"/>
        <v>5.0500000000000007</v>
      </c>
    </row>
    <row r="696" spans="1:9">
      <c r="A696" s="2" t="s">
        <v>697</v>
      </c>
      <c r="B696" s="3">
        <v>41.8</v>
      </c>
      <c r="C696" s="4">
        <v>0.89</v>
      </c>
      <c r="D696" s="7">
        <v>2.42</v>
      </c>
      <c r="E696" s="7">
        <v>2.83</v>
      </c>
      <c r="F696" s="7">
        <v>3.25</v>
      </c>
      <c r="G696" s="8">
        <f t="shared" si="33"/>
        <v>3.7</v>
      </c>
      <c r="H696" s="8">
        <f t="shared" si="34"/>
        <v>4.25</v>
      </c>
      <c r="I696" s="8">
        <f t="shared" si="35"/>
        <v>5.65</v>
      </c>
    </row>
    <row r="697" spans="1:9">
      <c r="A697" s="2" t="s">
        <v>698</v>
      </c>
      <c r="B697" s="3">
        <v>46.2</v>
      </c>
      <c r="C697" s="4">
        <v>0.95</v>
      </c>
      <c r="D697" s="7">
        <v>2.5</v>
      </c>
      <c r="E697" s="7">
        <v>3.15</v>
      </c>
      <c r="F697" s="7">
        <v>3.8</v>
      </c>
      <c r="G697" s="8">
        <f t="shared" si="33"/>
        <v>4.1000000000000005</v>
      </c>
      <c r="H697" s="8">
        <f t="shared" si="34"/>
        <v>4.7</v>
      </c>
      <c r="I697" s="8">
        <f t="shared" si="35"/>
        <v>6.3000000000000007</v>
      </c>
    </row>
    <row r="698" spans="1:9">
      <c r="A698" s="2" t="s">
        <v>699</v>
      </c>
      <c r="B698" s="3">
        <v>59.5</v>
      </c>
      <c r="C698" s="4">
        <v>0.98199999999999998</v>
      </c>
      <c r="D698" s="7">
        <v>2.83</v>
      </c>
      <c r="E698" s="7">
        <v>3.6</v>
      </c>
      <c r="F698" s="7">
        <v>4.3600000000000003</v>
      </c>
      <c r="G698" s="8">
        <f t="shared" si="33"/>
        <v>4.7</v>
      </c>
      <c r="H698" s="8">
        <f t="shared" si="34"/>
        <v>5.4</v>
      </c>
      <c r="I698" s="8">
        <f t="shared" si="35"/>
        <v>7.2</v>
      </c>
    </row>
    <row r="699" spans="1:9">
      <c r="A699" s="2" t="s">
        <v>700</v>
      </c>
      <c r="B699" s="3">
        <v>60.6</v>
      </c>
      <c r="C699" s="4">
        <v>1.0469999999999999</v>
      </c>
      <c r="D699" s="7">
        <v>3.16</v>
      </c>
      <c r="E699" s="7">
        <v>4.04</v>
      </c>
      <c r="F699" s="7">
        <v>4.92</v>
      </c>
      <c r="G699" s="8">
        <f t="shared" si="33"/>
        <v>5.25</v>
      </c>
      <c r="H699" s="8">
        <f t="shared" si="34"/>
        <v>6.0500000000000007</v>
      </c>
      <c r="I699" s="8">
        <f t="shared" si="35"/>
        <v>8.1</v>
      </c>
    </row>
    <row r="700" spans="1:9">
      <c r="A700" s="2" t="s">
        <v>701</v>
      </c>
      <c r="B700" s="3">
        <v>63.1</v>
      </c>
      <c r="C700" s="4">
        <v>1.1100000000000001</v>
      </c>
      <c r="D700" s="9">
        <v>3.5</v>
      </c>
      <c r="E700" s="9">
        <v>4.5</v>
      </c>
      <c r="F700" s="9">
        <v>5.5</v>
      </c>
      <c r="G700" s="8">
        <f t="shared" si="33"/>
        <v>5.8500000000000005</v>
      </c>
      <c r="H700" s="8">
        <f t="shared" si="34"/>
        <v>6.75</v>
      </c>
      <c r="I700" s="8">
        <f t="shared" si="35"/>
        <v>9</v>
      </c>
    </row>
    <row r="701" spans="1:9">
      <c r="A701" s="2" t="s">
        <v>702</v>
      </c>
      <c r="B701" s="3">
        <v>71.8</v>
      </c>
      <c r="C701" s="4">
        <v>1.1819999999999999</v>
      </c>
      <c r="D701" s="7">
        <v>3.5</v>
      </c>
      <c r="E701" s="7">
        <v>4.5</v>
      </c>
      <c r="F701" s="7">
        <v>5.5</v>
      </c>
      <c r="G701" s="8">
        <f t="shared" si="33"/>
        <v>5.8500000000000005</v>
      </c>
      <c r="H701" s="8">
        <f t="shared" si="34"/>
        <v>6.75</v>
      </c>
      <c r="I701" s="8">
        <f t="shared" si="35"/>
        <v>9</v>
      </c>
    </row>
    <row r="702" spans="1:9">
      <c r="A702" s="2" t="s">
        <v>703</v>
      </c>
      <c r="B702" s="3">
        <v>7.9</v>
      </c>
      <c r="C702" s="4">
        <v>0.34300000000000003</v>
      </c>
      <c r="D702" s="7">
        <v>0.7</v>
      </c>
      <c r="E702" s="7">
        <v>0.85</v>
      </c>
      <c r="F702" s="7">
        <v>1</v>
      </c>
      <c r="G702" s="8">
        <f t="shared" si="33"/>
        <v>1.1000000000000001</v>
      </c>
      <c r="H702" s="8">
        <f t="shared" si="34"/>
        <v>1.3</v>
      </c>
      <c r="I702" s="8">
        <f t="shared" si="35"/>
        <v>1.7000000000000002</v>
      </c>
    </row>
    <row r="703" spans="1:9">
      <c r="A703" s="2" t="s">
        <v>704</v>
      </c>
      <c r="B703" s="3">
        <v>9.82</v>
      </c>
      <c r="C703" s="4">
        <v>0.40200000000000002</v>
      </c>
      <c r="D703" s="7">
        <v>0.85</v>
      </c>
      <c r="E703" s="7">
        <v>1</v>
      </c>
      <c r="F703" s="7">
        <v>1.1499999999999999</v>
      </c>
      <c r="G703" s="8">
        <f t="shared" si="33"/>
        <v>1.3</v>
      </c>
      <c r="H703" s="8">
        <f t="shared" si="34"/>
        <v>1.5</v>
      </c>
      <c r="I703" s="8">
        <f t="shared" si="35"/>
        <v>2</v>
      </c>
    </row>
    <row r="704" spans="1:9">
      <c r="A704" s="2" t="s">
        <v>705</v>
      </c>
      <c r="B704" s="3">
        <v>12.1</v>
      </c>
      <c r="C704" s="4">
        <v>0.46</v>
      </c>
      <c r="D704" s="7">
        <v>1.1000000000000001</v>
      </c>
      <c r="E704" s="7">
        <v>1.2</v>
      </c>
      <c r="F704" s="7">
        <v>1.3</v>
      </c>
      <c r="G704" s="8">
        <f t="shared" si="33"/>
        <v>1.55</v>
      </c>
      <c r="H704" s="8">
        <f t="shared" si="34"/>
        <v>1.8</v>
      </c>
      <c r="I704" s="8">
        <f t="shared" si="35"/>
        <v>2.4000000000000004</v>
      </c>
    </row>
    <row r="705" spans="1:9">
      <c r="A705" s="2" t="s">
        <v>706</v>
      </c>
      <c r="B705" s="3">
        <v>14.5</v>
      </c>
      <c r="C705" s="4">
        <v>0.52</v>
      </c>
      <c r="D705" s="7">
        <v>1.3</v>
      </c>
      <c r="E705" s="7">
        <v>1.42</v>
      </c>
      <c r="F705" s="7">
        <v>1.55</v>
      </c>
      <c r="G705" s="8">
        <f t="shared" si="33"/>
        <v>1.85</v>
      </c>
      <c r="H705" s="8">
        <f t="shared" si="34"/>
        <v>2.15</v>
      </c>
      <c r="I705" s="8">
        <f t="shared" si="35"/>
        <v>2.85</v>
      </c>
    </row>
    <row r="706" spans="1:9">
      <c r="A706" s="2" t="s">
        <v>707</v>
      </c>
      <c r="B706" s="3">
        <v>17</v>
      </c>
      <c r="C706" s="4">
        <v>0.57899999999999996</v>
      </c>
      <c r="D706" s="7">
        <v>1.5</v>
      </c>
      <c r="E706" s="7">
        <v>1.65</v>
      </c>
      <c r="F706" s="7">
        <v>1.8</v>
      </c>
      <c r="G706" s="8">
        <f t="shared" ref="G706:G769" si="36">MROUND($E706*1.3,0.05)</f>
        <v>2.15</v>
      </c>
      <c r="H706" s="8">
        <f t="shared" ref="H706:H769" si="37">MROUND($E706*1.5,0.05)</f>
        <v>2.4500000000000002</v>
      </c>
      <c r="I706" s="8">
        <f t="shared" ref="I706:I769" si="38">MROUND($E706*2,0.05)</f>
        <v>3.3000000000000003</v>
      </c>
    </row>
    <row r="707" spans="1:9">
      <c r="A707" s="2" t="s">
        <v>708</v>
      </c>
      <c r="B707" s="3">
        <v>19.7</v>
      </c>
      <c r="C707" s="4">
        <v>0.63900000000000001</v>
      </c>
      <c r="D707" s="7">
        <v>1.7</v>
      </c>
      <c r="E707" s="7">
        <v>1.85</v>
      </c>
      <c r="F707" s="7">
        <v>2</v>
      </c>
      <c r="G707" s="8">
        <f t="shared" si="36"/>
        <v>2.4000000000000004</v>
      </c>
      <c r="H707" s="8">
        <f t="shared" si="37"/>
        <v>2.8000000000000003</v>
      </c>
      <c r="I707" s="8">
        <f t="shared" si="38"/>
        <v>3.7</v>
      </c>
    </row>
    <row r="708" spans="1:9">
      <c r="A708" s="2" t="s">
        <v>709</v>
      </c>
      <c r="B708" s="3">
        <v>22.8</v>
      </c>
      <c r="C708" s="4">
        <v>0.69699999999999995</v>
      </c>
      <c r="D708" s="7">
        <v>1.9</v>
      </c>
      <c r="E708" s="7">
        <v>2.0499999999999998</v>
      </c>
      <c r="F708" s="7">
        <v>2.2000000000000002</v>
      </c>
      <c r="G708" s="8">
        <f t="shared" si="36"/>
        <v>2.6500000000000004</v>
      </c>
      <c r="H708" s="8">
        <f t="shared" si="37"/>
        <v>3.0500000000000003</v>
      </c>
      <c r="I708" s="8">
        <f t="shared" si="38"/>
        <v>4.1000000000000005</v>
      </c>
    </row>
    <row r="709" spans="1:9">
      <c r="A709" s="2" t="s">
        <v>710</v>
      </c>
      <c r="B709" s="3">
        <v>26.6</v>
      </c>
      <c r="C709" s="4">
        <v>0.75600000000000001</v>
      </c>
      <c r="D709" s="7">
        <v>2.0499999999999998</v>
      </c>
      <c r="E709" s="7">
        <v>2.2200000000000002</v>
      </c>
      <c r="F709" s="7">
        <v>2.4</v>
      </c>
      <c r="G709" s="8">
        <f t="shared" si="36"/>
        <v>2.9000000000000004</v>
      </c>
      <c r="H709" s="8">
        <f t="shared" si="37"/>
        <v>3.35</v>
      </c>
      <c r="I709" s="8">
        <f t="shared" si="38"/>
        <v>4.45</v>
      </c>
    </row>
    <row r="710" spans="1:9">
      <c r="A710" s="2" t="s">
        <v>711</v>
      </c>
      <c r="B710" s="3">
        <v>30.2</v>
      </c>
      <c r="C710" s="4">
        <v>0.81299999999999994</v>
      </c>
      <c r="D710" s="7">
        <v>2.2000000000000002</v>
      </c>
      <c r="E710" s="7">
        <v>2.37</v>
      </c>
      <c r="F710" s="7">
        <v>2.5499999999999998</v>
      </c>
      <c r="G710" s="8">
        <f t="shared" si="36"/>
        <v>3.1</v>
      </c>
      <c r="H710" s="8">
        <f t="shared" si="37"/>
        <v>3.5500000000000003</v>
      </c>
      <c r="I710" s="8">
        <f t="shared" si="38"/>
        <v>4.75</v>
      </c>
    </row>
    <row r="711" spans="1:9">
      <c r="A711" s="2" t="s">
        <v>712</v>
      </c>
      <c r="B711" s="3">
        <v>35.200000000000003</v>
      </c>
      <c r="C711" s="4">
        <v>0.89200000000000002</v>
      </c>
      <c r="D711" s="7">
        <v>2.2000000000000002</v>
      </c>
      <c r="E711" s="7">
        <v>2.37</v>
      </c>
      <c r="F711" s="7">
        <v>2.5499999999999998</v>
      </c>
      <c r="G711" s="8">
        <f t="shared" si="36"/>
        <v>3.1</v>
      </c>
      <c r="H711" s="8">
        <f t="shared" si="37"/>
        <v>3.5500000000000003</v>
      </c>
      <c r="I711" s="8">
        <f t="shared" si="38"/>
        <v>4.75</v>
      </c>
    </row>
    <row r="712" spans="1:9">
      <c r="A712" s="2" t="s">
        <v>713</v>
      </c>
      <c r="B712" s="3">
        <v>44.4</v>
      </c>
      <c r="C712" s="4">
        <v>0.96799999999999997</v>
      </c>
      <c r="D712" s="7">
        <v>2.5</v>
      </c>
      <c r="E712" s="7">
        <v>3.15</v>
      </c>
      <c r="F712" s="7">
        <v>3.8</v>
      </c>
      <c r="G712" s="8">
        <f t="shared" si="36"/>
        <v>4.1000000000000005</v>
      </c>
      <c r="H712" s="8">
        <f t="shared" si="37"/>
        <v>4.7</v>
      </c>
      <c r="I712" s="8">
        <f t="shared" si="38"/>
        <v>6.3000000000000007</v>
      </c>
    </row>
    <row r="713" spans="1:9">
      <c r="A713" s="2" t="s">
        <v>714</v>
      </c>
      <c r="B713" s="3">
        <v>53.2</v>
      </c>
      <c r="C713" s="4">
        <v>1.0429999999999999</v>
      </c>
      <c r="D713" s="7">
        <v>2.83</v>
      </c>
      <c r="E713" s="7">
        <v>3.6</v>
      </c>
      <c r="F713" s="7">
        <v>4.3600000000000003</v>
      </c>
      <c r="G713" s="8">
        <f t="shared" si="36"/>
        <v>4.7</v>
      </c>
      <c r="H713" s="8">
        <f t="shared" si="37"/>
        <v>5.4</v>
      </c>
      <c r="I713" s="8">
        <f t="shared" si="38"/>
        <v>7.2</v>
      </c>
    </row>
    <row r="714" spans="1:9">
      <c r="A714" s="2" t="s">
        <v>715</v>
      </c>
      <c r="B714" s="3">
        <v>61.2</v>
      </c>
      <c r="C714" s="4">
        <v>1.121</v>
      </c>
      <c r="D714" s="7">
        <v>3.16</v>
      </c>
      <c r="E714" s="7">
        <v>4.04</v>
      </c>
      <c r="F714" s="7">
        <v>4.92</v>
      </c>
      <c r="G714" s="8">
        <f t="shared" si="36"/>
        <v>5.25</v>
      </c>
      <c r="H714" s="8">
        <f t="shared" si="37"/>
        <v>6.0500000000000007</v>
      </c>
      <c r="I714" s="8">
        <f t="shared" si="38"/>
        <v>8.1</v>
      </c>
    </row>
    <row r="715" spans="1:9">
      <c r="A715" s="2" t="s">
        <v>716</v>
      </c>
      <c r="B715" s="3">
        <v>72.2</v>
      </c>
      <c r="C715" s="4">
        <v>1.218</v>
      </c>
      <c r="D715" s="7">
        <v>3.5</v>
      </c>
      <c r="E715" s="7">
        <v>4.5</v>
      </c>
      <c r="F715" s="7">
        <v>5.5</v>
      </c>
      <c r="G715" s="8">
        <f t="shared" si="36"/>
        <v>5.8500000000000005</v>
      </c>
      <c r="H715" s="8">
        <f t="shared" si="37"/>
        <v>6.75</v>
      </c>
      <c r="I715" s="8">
        <f t="shared" si="38"/>
        <v>9</v>
      </c>
    </row>
    <row r="716" spans="1:9">
      <c r="A716" s="2" t="s">
        <v>717</v>
      </c>
      <c r="B716" s="3">
        <v>19.625</v>
      </c>
      <c r="C716" s="5" t="s">
        <v>718</v>
      </c>
      <c r="G716" s="8">
        <f t="shared" si="36"/>
        <v>0</v>
      </c>
      <c r="H716" s="8">
        <f t="shared" si="37"/>
        <v>0</v>
      </c>
      <c r="I716" s="8">
        <f t="shared" si="38"/>
        <v>0</v>
      </c>
    </row>
    <row r="717" spans="1:9">
      <c r="A717" s="2" t="s">
        <v>719</v>
      </c>
      <c r="B717" s="3">
        <v>24.53125</v>
      </c>
      <c r="C717" s="5" t="s">
        <v>718</v>
      </c>
      <c r="G717" s="8">
        <f t="shared" si="36"/>
        <v>0</v>
      </c>
      <c r="H717" s="8">
        <f t="shared" si="37"/>
        <v>0</v>
      </c>
      <c r="I717" s="8">
        <f t="shared" si="38"/>
        <v>0</v>
      </c>
    </row>
    <row r="718" spans="1:9">
      <c r="A718" s="2" t="s">
        <v>720</v>
      </c>
      <c r="B718" s="3">
        <v>29.4375</v>
      </c>
      <c r="C718" s="5" t="s">
        <v>718</v>
      </c>
      <c r="G718" s="8">
        <f t="shared" si="36"/>
        <v>0</v>
      </c>
      <c r="H718" s="8">
        <f t="shared" si="37"/>
        <v>0</v>
      </c>
      <c r="I718" s="8">
        <f t="shared" si="38"/>
        <v>0</v>
      </c>
    </row>
    <row r="719" spans="1:9">
      <c r="A719" s="2" t="s">
        <v>721</v>
      </c>
      <c r="B719" s="3">
        <v>34.34375</v>
      </c>
      <c r="C719" s="5" t="s">
        <v>718</v>
      </c>
      <c r="G719" s="8">
        <f t="shared" si="36"/>
        <v>0</v>
      </c>
      <c r="H719" s="8">
        <f t="shared" si="37"/>
        <v>0</v>
      </c>
      <c r="I719" s="8">
        <f t="shared" si="38"/>
        <v>0</v>
      </c>
    </row>
    <row r="720" spans="1:9">
      <c r="A720" s="2" t="s">
        <v>722</v>
      </c>
      <c r="B720" s="3">
        <v>39.25</v>
      </c>
      <c r="C720" s="5" t="s">
        <v>718</v>
      </c>
      <c r="G720" s="8">
        <f t="shared" si="36"/>
        <v>0</v>
      </c>
      <c r="H720" s="8">
        <f t="shared" si="37"/>
        <v>0</v>
      </c>
      <c r="I720" s="8">
        <f t="shared" si="38"/>
        <v>0</v>
      </c>
    </row>
    <row r="721" spans="1:9">
      <c r="A721" s="2" t="s">
        <v>723</v>
      </c>
      <c r="B721" s="3">
        <v>44.15625</v>
      </c>
      <c r="C721" s="5" t="s">
        <v>718</v>
      </c>
      <c r="G721" s="8">
        <f t="shared" si="36"/>
        <v>0</v>
      </c>
      <c r="H721" s="8">
        <f t="shared" si="37"/>
        <v>0</v>
      </c>
      <c r="I721" s="8">
        <f t="shared" si="38"/>
        <v>0</v>
      </c>
    </row>
    <row r="722" spans="1:9">
      <c r="A722" s="2" t="s">
        <v>724</v>
      </c>
      <c r="B722" s="3">
        <v>49.0625</v>
      </c>
      <c r="C722" s="5" t="s">
        <v>718</v>
      </c>
      <c r="G722" s="8">
        <f t="shared" si="36"/>
        <v>0</v>
      </c>
      <c r="H722" s="8">
        <f t="shared" si="37"/>
        <v>0</v>
      </c>
      <c r="I722" s="8">
        <f t="shared" si="38"/>
        <v>0</v>
      </c>
    </row>
    <row r="723" spans="1:9">
      <c r="A723" s="2" t="s">
        <v>725</v>
      </c>
      <c r="B723" s="3">
        <v>53.96875</v>
      </c>
      <c r="C723" s="5" t="s">
        <v>718</v>
      </c>
      <c r="G723" s="8">
        <f t="shared" si="36"/>
        <v>0</v>
      </c>
      <c r="H723" s="8">
        <f t="shared" si="37"/>
        <v>0</v>
      </c>
      <c r="I723" s="8">
        <f t="shared" si="38"/>
        <v>0</v>
      </c>
    </row>
    <row r="724" spans="1:9">
      <c r="A724" s="2" t="s">
        <v>726</v>
      </c>
      <c r="B724" s="3">
        <v>58.875</v>
      </c>
      <c r="C724" s="5" t="s">
        <v>718</v>
      </c>
      <c r="G724" s="8">
        <f t="shared" si="36"/>
        <v>0</v>
      </c>
      <c r="H724" s="8">
        <f t="shared" si="37"/>
        <v>0</v>
      </c>
      <c r="I724" s="8">
        <f t="shared" si="38"/>
        <v>0</v>
      </c>
    </row>
    <row r="725" spans="1:9">
      <c r="A725" s="2" t="s">
        <v>727</v>
      </c>
      <c r="B725" s="3">
        <v>63.78125</v>
      </c>
      <c r="C725" s="5" t="s">
        <v>718</v>
      </c>
      <c r="G725" s="8">
        <f t="shared" si="36"/>
        <v>0</v>
      </c>
      <c r="H725" s="8">
        <f t="shared" si="37"/>
        <v>0</v>
      </c>
      <c r="I725" s="8">
        <f t="shared" si="38"/>
        <v>0</v>
      </c>
    </row>
    <row r="726" spans="1:9">
      <c r="A726" s="2" t="s">
        <v>728</v>
      </c>
      <c r="B726" s="3">
        <v>68.6875</v>
      </c>
      <c r="C726" s="5" t="s">
        <v>718</v>
      </c>
      <c r="G726" s="8">
        <f t="shared" si="36"/>
        <v>0</v>
      </c>
      <c r="H726" s="8">
        <f t="shared" si="37"/>
        <v>0</v>
      </c>
      <c r="I726" s="8">
        <f t="shared" si="38"/>
        <v>0</v>
      </c>
    </row>
    <row r="727" spans="1:9">
      <c r="A727" s="2" t="s">
        <v>729</v>
      </c>
      <c r="B727" s="3">
        <v>73.59375</v>
      </c>
      <c r="C727" s="5" t="s">
        <v>718</v>
      </c>
      <c r="G727" s="8">
        <f t="shared" si="36"/>
        <v>0</v>
      </c>
      <c r="H727" s="8">
        <f t="shared" si="37"/>
        <v>0</v>
      </c>
      <c r="I727" s="8">
        <f t="shared" si="38"/>
        <v>0</v>
      </c>
    </row>
    <row r="728" spans="1:9">
      <c r="A728" s="2" t="s">
        <v>730</v>
      </c>
      <c r="B728" s="3">
        <v>78.5</v>
      </c>
      <c r="C728" s="5" t="s">
        <v>718</v>
      </c>
      <c r="G728" s="8">
        <f t="shared" si="36"/>
        <v>0</v>
      </c>
      <c r="H728" s="8">
        <f t="shared" si="37"/>
        <v>0</v>
      </c>
      <c r="I728" s="8">
        <f t="shared" si="38"/>
        <v>0</v>
      </c>
    </row>
    <row r="729" spans="1:9">
      <c r="A729" s="2" t="s">
        <v>731</v>
      </c>
      <c r="B729" s="3">
        <v>83.40625</v>
      </c>
      <c r="C729" s="5" t="s">
        <v>718</v>
      </c>
      <c r="G729" s="8">
        <f t="shared" si="36"/>
        <v>0</v>
      </c>
      <c r="H729" s="8">
        <f t="shared" si="37"/>
        <v>0</v>
      </c>
      <c r="I729" s="8">
        <f t="shared" si="38"/>
        <v>0</v>
      </c>
    </row>
    <row r="730" spans="1:9">
      <c r="A730" s="2" t="s">
        <v>732</v>
      </c>
      <c r="B730" s="3">
        <v>88.3125</v>
      </c>
      <c r="C730" s="5" t="s">
        <v>718</v>
      </c>
      <c r="G730" s="8">
        <f t="shared" si="36"/>
        <v>0</v>
      </c>
      <c r="H730" s="8">
        <f t="shared" si="37"/>
        <v>0</v>
      </c>
      <c r="I730" s="8">
        <f t="shared" si="38"/>
        <v>0</v>
      </c>
    </row>
    <row r="731" spans="1:9">
      <c r="A731" s="2" t="s">
        <v>733</v>
      </c>
      <c r="B731" s="3">
        <v>93.21875</v>
      </c>
      <c r="C731" s="5" t="s">
        <v>718</v>
      </c>
      <c r="G731" s="8">
        <f t="shared" si="36"/>
        <v>0</v>
      </c>
      <c r="H731" s="8">
        <f t="shared" si="37"/>
        <v>0</v>
      </c>
      <c r="I731" s="8">
        <f t="shared" si="38"/>
        <v>0</v>
      </c>
    </row>
    <row r="732" spans="1:9">
      <c r="A732" s="2" t="s">
        <v>734</v>
      </c>
      <c r="B732" s="3">
        <v>98.125</v>
      </c>
      <c r="C732" s="5" t="s">
        <v>718</v>
      </c>
      <c r="G732" s="8">
        <f t="shared" si="36"/>
        <v>0</v>
      </c>
      <c r="H732" s="8">
        <f t="shared" si="37"/>
        <v>0</v>
      </c>
      <c r="I732" s="8">
        <f t="shared" si="38"/>
        <v>0</v>
      </c>
    </row>
    <row r="733" spans="1:9">
      <c r="A733" s="2" t="s">
        <v>735</v>
      </c>
      <c r="B733" s="3">
        <v>103.03125</v>
      </c>
      <c r="C733" s="5" t="s">
        <v>718</v>
      </c>
      <c r="G733" s="8">
        <f t="shared" si="36"/>
        <v>0</v>
      </c>
      <c r="H733" s="8">
        <f t="shared" si="37"/>
        <v>0</v>
      </c>
      <c r="I733" s="8">
        <f t="shared" si="38"/>
        <v>0</v>
      </c>
    </row>
    <row r="734" spans="1:9">
      <c r="A734" s="2" t="s">
        <v>736</v>
      </c>
      <c r="B734" s="3">
        <v>107.9375</v>
      </c>
      <c r="C734" s="5" t="s">
        <v>718</v>
      </c>
      <c r="G734" s="8">
        <f t="shared" si="36"/>
        <v>0</v>
      </c>
      <c r="H734" s="8">
        <f t="shared" si="37"/>
        <v>0</v>
      </c>
      <c r="I734" s="8">
        <f t="shared" si="38"/>
        <v>0</v>
      </c>
    </row>
    <row r="735" spans="1:9">
      <c r="A735" s="2" t="s">
        <v>737</v>
      </c>
      <c r="B735" s="3">
        <v>112.84375</v>
      </c>
      <c r="C735" s="5" t="s">
        <v>718</v>
      </c>
      <c r="G735" s="8">
        <f t="shared" si="36"/>
        <v>0</v>
      </c>
      <c r="H735" s="8">
        <f t="shared" si="37"/>
        <v>0</v>
      </c>
      <c r="I735" s="8">
        <f t="shared" si="38"/>
        <v>0</v>
      </c>
    </row>
    <row r="736" spans="1:9">
      <c r="A736" s="2" t="s">
        <v>738</v>
      </c>
      <c r="B736" s="3">
        <v>117.75</v>
      </c>
      <c r="C736" s="5" t="s">
        <v>718</v>
      </c>
      <c r="G736" s="8">
        <f t="shared" si="36"/>
        <v>0</v>
      </c>
      <c r="H736" s="8">
        <f t="shared" si="37"/>
        <v>0</v>
      </c>
      <c r="I736" s="8">
        <f t="shared" si="38"/>
        <v>0</v>
      </c>
    </row>
    <row r="737" spans="1:9">
      <c r="A737" s="2" t="s">
        <v>739</v>
      </c>
      <c r="B737" s="3">
        <v>15</v>
      </c>
      <c r="C737" s="6">
        <v>0.76</v>
      </c>
      <c r="G737" s="8">
        <f t="shared" si="36"/>
        <v>0</v>
      </c>
      <c r="H737" s="8">
        <f t="shared" si="37"/>
        <v>0</v>
      </c>
      <c r="I737" s="8">
        <f t="shared" si="38"/>
        <v>0</v>
      </c>
    </row>
    <row r="738" spans="1:9">
      <c r="A738" s="2" t="s">
        <v>740</v>
      </c>
      <c r="B738" s="3">
        <v>100</v>
      </c>
      <c r="C738" s="5" t="s">
        <v>718</v>
      </c>
      <c r="G738" s="8">
        <f t="shared" si="36"/>
        <v>0</v>
      </c>
      <c r="H738" s="8">
        <f t="shared" si="37"/>
        <v>0</v>
      </c>
      <c r="I738" s="8">
        <f t="shared" si="38"/>
        <v>0</v>
      </c>
    </row>
    <row r="739" spans="1:9">
      <c r="A739" s="2" t="s">
        <v>741</v>
      </c>
      <c r="B739" s="3">
        <v>34.34375</v>
      </c>
      <c r="C739" s="5" t="s">
        <v>718</v>
      </c>
      <c r="G739" s="8">
        <f t="shared" si="36"/>
        <v>0</v>
      </c>
      <c r="H739" s="8">
        <f t="shared" si="37"/>
        <v>0</v>
      </c>
      <c r="I739" s="8">
        <f t="shared" si="38"/>
        <v>0</v>
      </c>
    </row>
    <row r="740" spans="1:9">
      <c r="A740" s="2" t="s">
        <v>742</v>
      </c>
      <c r="B740" s="3">
        <v>250</v>
      </c>
      <c r="C740" s="6" t="s">
        <v>718</v>
      </c>
      <c r="G740" s="8">
        <f t="shared" si="36"/>
        <v>0</v>
      </c>
      <c r="H740" s="8">
        <f t="shared" si="37"/>
        <v>0</v>
      </c>
      <c r="I740" s="8">
        <f t="shared" si="38"/>
        <v>0</v>
      </c>
    </row>
    <row r="741" spans="1:9">
      <c r="A741" s="2" t="s">
        <v>743</v>
      </c>
      <c r="B741" s="3">
        <v>16</v>
      </c>
      <c r="C741" s="6" t="s">
        <v>718</v>
      </c>
      <c r="G741" s="8">
        <f t="shared" si="36"/>
        <v>0</v>
      </c>
      <c r="H741" s="8">
        <f t="shared" si="37"/>
        <v>0</v>
      </c>
      <c r="I741" s="8">
        <f t="shared" si="38"/>
        <v>0</v>
      </c>
    </row>
    <row r="742" spans="1:9">
      <c r="A742" s="2" t="s">
        <v>744</v>
      </c>
      <c r="B742" s="3">
        <v>5</v>
      </c>
      <c r="C742" s="6" t="s">
        <v>718</v>
      </c>
      <c r="G742" s="8">
        <f t="shared" si="36"/>
        <v>0</v>
      </c>
      <c r="H742" s="8">
        <f t="shared" si="37"/>
        <v>0</v>
      </c>
      <c r="I742" s="8">
        <f t="shared" si="38"/>
        <v>0</v>
      </c>
    </row>
    <row r="743" spans="1:9">
      <c r="A743" s="2" t="s">
        <v>745</v>
      </c>
      <c r="B743" s="3">
        <v>265</v>
      </c>
      <c r="C743" s="5" t="s">
        <v>718</v>
      </c>
      <c r="G743" s="8">
        <f t="shared" si="36"/>
        <v>0</v>
      </c>
      <c r="H743" s="8">
        <f t="shared" si="37"/>
        <v>0</v>
      </c>
      <c r="I743" s="8">
        <f t="shared" si="38"/>
        <v>0</v>
      </c>
    </row>
    <row r="744" spans="1:9">
      <c r="A744" s="2" t="s">
        <v>746</v>
      </c>
      <c r="B744" s="3">
        <v>385</v>
      </c>
      <c r="C744" s="5" t="s">
        <v>718</v>
      </c>
      <c r="G744" s="8">
        <f t="shared" si="36"/>
        <v>0</v>
      </c>
      <c r="H744" s="8">
        <f t="shared" si="37"/>
        <v>0</v>
      </c>
      <c r="I744" s="8">
        <f t="shared" si="38"/>
        <v>0</v>
      </c>
    </row>
    <row r="745" spans="1:9">
      <c r="A745" s="2" t="s">
        <v>747</v>
      </c>
      <c r="B745" s="3">
        <v>15</v>
      </c>
      <c r="C745" s="6">
        <v>0.79</v>
      </c>
      <c r="G745" s="8">
        <f t="shared" si="36"/>
        <v>0</v>
      </c>
      <c r="H745" s="8">
        <f t="shared" si="37"/>
        <v>0</v>
      </c>
      <c r="I745" s="8">
        <f t="shared" si="38"/>
        <v>0</v>
      </c>
    </row>
    <row r="746" spans="1:9">
      <c r="A746" s="2" t="s">
        <v>748</v>
      </c>
      <c r="B746" s="3">
        <f>0.2*B449</f>
        <v>24</v>
      </c>
      <c r="C746" s="6">
        <v>0.4</v>
      </c>
      <c r="G746" s="8">
        <f t="shared" si="36"/>
        <v>0</v>
      </c>
      <c r="H746" s="8">
        <f t="shared" si="37"/>
        <v>0</v>
      </c>
      <c r="I746" s="8">
        <f t="shared" si="38"/>
        <v>0</v>
      </c>
    </row>
    <row r="747" spans="1:9">
      <c r="A747" s="2" t="s">
        <v>749</v>
      </c>
      <c r="B747" s="3">
        <f>0.2*B451</f>
        <v>32</v>
      </c>
      <c r="C747" s="6">
        <f>0.2*2</f>
        <v>0.4</v>
      </c>
      <c r="G747" s="8">
        <f t="shared" si="36"/>
        <v>0</v>
      </c>
      <c r="H747" s="8">
        <f t="shared" si="37"/>
        <v>0</v>
      </c>
      <c r="I747" s="8">
        <f t="shared" si="38"/>
        <v>0</v>
      </c>
    </row>
    <row r="748" spans="1:9">
      <c r="A748" s="2" t="s">
        <v>750</v>
      </c>
      <c r="B748" s="3">
        <f>0.2*B452</f>
        <v>40</v>
      </c>
      <c r="C748" s="6">
        <v>0.4</v>
      </c>
      <c r="G748" s="8">
        <f t="shared" si="36"/>
        <v>0</v>
      </c>
      <c r="H748" s="8">
        <f t="shared" si="37"/>
        <v>0</v>
      </c>
      <c r="I748" s="8">
        <f t="shared" si="38"/>
        <v>0</v>
      </c>
    </row>
    <row r="749" spans="1:9">
      <c r="A749" s="2" t="s">
        <v>751</v>
      </c>
      <c r="B749" s="3">
        <f>0.2*B453</f>
        <v>48</v>
      </c>
      <c r="C749" s="6">
        <v>0.4</v>
      </c>
      <c r="G749" s="8">
        <f t="shared" si="36"/>
        <v>0</v>
      </c>
      <c r="H749" s="8">
        <f t="shared" si="37"/>
        <v>0</v>
      </c>
      <c r="I749" s="8">
        <f t="shared" si="38"/>
        <v>0</v>
      </c>
    </row>
    <row r="750" spans="1:9">
      <c r="A750" s="2" t="s">
        <v>752</v>
      </c>
      <c r="B750" s="3" t="s">
        <v>753</v>
      </c>
      <c r="C750" s="6" t="s">
        <v>753</v>
      </c>
      <c r="G750" s="8">
        <f t="shared" si="36"/>
        <v>0</v>
      </c>
      <c r="H750" s="8">
        <f t="shared" si="37"/>
        <v>0</v>
      </c>
      <c r="I750" s="8">
        <f t="shared" si="38"/>
        <v>0</v>
      </c>
    </row>
    <row r="751" spans="1:9">
      <c r="A751" s="2" t="s">
        <v>754</v>
      </c>
      <c r="B751" s="3" t="s">
        <v>753</v>
      </c>
      <c r="C751" s="6" t="s">
        <v>753</v>
      </c>
      <c r="G751" s="8">
        <f t="shared" si="36"/>
        <v>0</v>
      </c>
      <c r="H751" s="8">
        <f t="shared" si="37"/>
        <v>0</v>
      </c>
      <c r="I751" s="8">
        <f t="shared" si="38"/>
        <v>0</v>
      </c>
    </row>
    <row r="752" spans="1:9">
      <c r="A752" s="2" t="s">
        <v>755</v>
      </c>
      <c r="B752" s="3" t="s">
        <v>753</v>
      </c>
      <c r="C752" s="6" t="s">
        <v>753</v>
      </c>
      <c r="G752" s="8">
        <f t="shared" si="36"/>
        <v>0</v>
      </c>
      <c r="H752" s="8">
        <f t="shared" si="37"/>
        <v>0</v>
      </c>
      <c r="I752" s="8">
        <f t="shared" si="38"/>
        <v>0</v>
      </c>
    </row>
    <row r="753" spans="1:9">
      <c r="A753" s="2" t="s">
        <v>756</v>
      </c>
      <c r="B753" s="3">
        <v>12.2</v>
      </c>
      <c r="C753" s="6">
        <v>0.55300000000000005</v>
      </c>
      <c r="G753" s="8">
        <f t="shared" si="36"/>
        <v>0</v>
      </c>
      <c r="H753" s="8">
        <f t="shared" si="37"/>
        <v>0</v>
      </c>
      <c r="I753" s="8">
        <f t="shared" si="38"/>
        <v>0</v>
      </c>
    </row>
    <row r="754" spans="1:9">
      <c r="A754" s="2" t="s">
        <v>757</v>
      </c>
      <c r="B754" s="3">
        <v>14.6</v>
      </c>
      <c r="C754" s="6">
        <v>0.66900000000000004</v>
      </c>
      <c r="G754" s="8">
        <f t="shared" si="36"/>
        <v>0</v>
      </c>
      <c r="H754" s="8">
        <f t="shared" si="37"/>
        <v>0</v>
      </c>
      <c r="I754" s="8">
        <f t="shared" si="38"/>
        <v>0</v>
      </c>
    </row>
    <row r="755" spans="1:9">
      <c r="A755" s="2" t="s">
        <v>758</v>
      </c>
      <c r="B755" s="3">
        <v>18.100000000000001</v>
      </c>
      <c r="C755" s="6">
        <v>0.78700000000000003</v>
      </c>
      <c r="G755" s="8">
        <f t="shared" si="36"/>
        <v>0</v>
      </c>
      <c r="H755" s="8">
        <f t="shared" si="37"/>
        <v>0</v>
      </c>
      <c r="I755" s="8">
        <f t="shared" si="38"/>
        <v>0</v>
      </c>
    </row>
    <row r="756" spans="1:9">
      <c r="A756" s="2" t="s">
        <v>759</v>
      </c>
      <c r="B756" s="3">
        <v>23.8</v>
      </c>
      <c r="C756" s="6">
        <v>0.90100000000000002</v>
      </c>
      <c r="G756" s="8">
        <f t="shared" si="36"/>
        <v>0</v>
      </c>
      <c r="H756" s="8">
        <f t="shared" si="37"/>
        <v>0</v>
      </c>
      <c r="I756" s="8">
        <f t="shared" si="38"/>
        <v>0</v>
      </c>
    </row>
    <row r="757" spans="1:9">
      <c r="A757" s="2" t="s">
        <v>760</v>
      </c>
      <c r="B757" s="3">
        <v>28.7</v>
      </c>
      <c r="C757" s="6">
        <v>1.018</v>
      </c>
      <c r="G757" s="8">
        <f t="shared" si="36"/>
        <v>0</v>
      </c>
      <c r="H757" s="8">
        <f t="shared" si="37"/>
        <v>0</v>
      </c>
      <c r="I757" s="8">
        <f t="shared" si="38"/>
        <v>0</v>
      </c>
    </row>
    <row r="758" spans="1:9">
      <c r="A758" s="2" t="s">
        <v>761</v>
      </c>
      <c r="B758" s="3">
        <v>34.6</v>
      </c>
      <c r="C758" s="6">
        <v>1.1299999999999999</v>
      </c>
      <c r="G758" s="8">
        <f t="shared" si="36"/>
        <v>0</v>
      </c>
      <c r="H758" s="8">
        <f t="shared" si="37"/>
        <v>0</v>
      </c>
      <c r="I758" s="8">
        <f t="shared" si="38"/>
        <v>0</v>
      </c>
    </row>
    <row r="759" spans="1:9">
      <c r="A759" s="2" t="s">
        <v>762</v>
      </c>
      <c r="B759" s="3">
        <v>40.4</v>
      </c>
      <c r="C759" s="6">
        <v>1.2470000000000001</v>
      </c>
      <c r="G759" s="8">
        <f t="shared" si="36"/>
        <v>0</v>
      </c>
      <c r="H759" s="8">
        <f t="shared" si="37"/>
        <v>0</v>
      </c>
      <c r="I759" s="8">
        <f t="shared" si="38"/>
        <v>0</v>
      </c>
    </row>
    <row r="760" spans="1:9">
      <c r="A760" s="2" t="s">
        <v>763</v>
      </c>
      <c r="B760" s="3">
        <v>47.4</v>
      </c>
      <c r="C760" s="6">
        <v>1.359</v>
      </c>
      <c r="G760" s="8">
        <f t="shared" si="36"/>
        <v>0</v>
      </c>
      <c r="H760" s="8">
        <f t="shared" si="37"/>
        <v>0</v>
      </c>
      <c r="I760" s="8">
        <f t="shared" si="38"/>
        <v>0</v>
      </c>
    </row>
    <row r="761" spans="1:9">
      <c r="A761" s="2" t="s">
        <v>764</v>
      </c>
      <c r="B761" s="3">
        <v>54.1</v>
      </c>
      <c r="C761" s="6">
        <v>1.474</v>
      </c>
      <c r="G761" s="8">
        <f t="shared" si="36"/>
        <v>0</v>
      </c>
      <c r="H761" s="8">
        <f t="shared" si="37"/>
        <v>0</v>
      </c>
      <c r="I761" s="8">
        <f t="shared" si="38"/>
        <v>0</v>
      </c>
    </row>
    <row r="762" spans="1:9">
      <c r="A762" s="2" t="s">
        <v>765</v>
      </c>
      <c r="B762" s="3">
        <v>61.2</v>
      </c>
      <c r="C762" s="6">
        <v>1.593</v>
      </c>
      <c r="G762" s="8">
        <f t="shared" si="36"/>
        <v>0</v>
      </c>
      <c r="H762" s="8">
        <f t="shared" si="37"/>
        <v>0</v>
      </c>
      <c r="I762" s="8">
        <f t="shared" si="38"/>
        <v>0</v>
      </c>
    </row>
    <row r="763" spans="1:9">
      <c r="A763" s="2" t="s">
        <v>766</v>
      </c>
      <c r="B763" s="3">
        <v>69.8</v>
      </c>
      <c r="C763" s="6">
        <v>1.7050000000000001</v>
      </c>
      <c r="G763" s="8">
        <f t="shared" si="36"/>
        <v>0</v>
      </c>
      <c r="H763" s="8">
        <f t="shared" si="37"/>
        <v>0</v>
      </c>
      <c r="I763" s="8">
        <f t="shared" si="38"/>
        <v>0</v>
      </c>
    </row>
    <row r="764" spans="1:9">
      <c r="A764" s="2" t="s">
        <v>767</v>
      </c>
      <c r="B764" s="3">
        <v>74.2</v>
      </c>
      <c r="C764" s="6">
        <v>1.74</v>
      </c>
      <c r="G764" s="8">
        <f t="shared" si="36"/>
        <v>0</v>
      </c>
      <c r="H764" s="8">
        <f t="shared" si="37"/>
        <v>0</v>
      </c>
      <c r="I764" s="8">
        <f t="shared" si="38"/>
        <v>0</v>
      </c>
    </row>
    <row r="765" spans="1:9">
      <c r="A765" s="2" t="s">
        <v>768</v>
      </c>
      <c r="B765" s="3">
        <v>78.900000000000006</v>
      </c>
      <c r="C765" s="6">
        <v>1.7769999999999999</v>
      </c>
      <c r="G765" s="8">
        <f t="shared" si="36"/>
        <v>0</v>
      </c>
      <c r="H765" s="8">
        <f t="shared" si="37"/>
        <v>0</v>
      </c>
      <c r="I765" s="8">
        <f t="shared" si="38"/>
        <v>0</v>
      </c>
    </row>
    <row r="766" spans="1:9">
      <c r="A766" s="2" t="s">
        <v>769</v>
      </c>
      <c r="B766" s="3">
        <v>83.7</v>
      </c>
      <c r="C766" s="6">
        <v>1.8140000000000001</v>
      </c>
      <c r="G766" s="8">
        <f t="shared" si="36"/>
        <v>0</v>
      </c>
      <c r="H766" s="8">
        <f t="shared" si="37"/>
        <v>0</v>
      </c>
      <c r="I766" s="8">
        <f t="shared" si="38"/>
        <v>0</v>
      </c>
    </row>
    <row r="767" spans="1:9">
      <c r="A767" s="2" t="s">
        <v>770</v>
      </c>
      <c r="B767" s="3">
        <v>92.4</v>
      </c>
      <c r="C767" s="6">
        <v>1.891</v>
      </c>
      <c r="G767" s="8">
        <f t="shared" si="36"/>
        <v>0</v>
      </c>
      <c r="H767" s="8">
        <f t="shared" si="37"/>
        <v>0</v>
      </c>
      <c r="I767" s="8">
        <f t="shared" si="38"/>
        <v>0</v>
      </c>
    </row>
    <row r="768" spans="1:9">
      <c r="A768" s="2" t="s">
        <v>771</v>
      </c>
      <c r="B768" s="3">
        <v>99.7</v>
      </c>
      <c r="C768" s="6">
        <v>1.984</v>
      </c>
      <c r="G768" s="8">
        <f t="shared" si="36"/>
        <v>0</v>
      </c>
      <c r="H768" s="8">
        <f t="shared" si="37"/>
        <v>0</v>
      </c>
      <c r="I768" s="8">
        <f t="shared" si="38"/>
        <v>0</v>
      </c>
    </row>
    <row r="769" spans="1:9">
      <c r="A769" s="2" t="s">
        <v>772</v>
      </c>
      <c r="B769" s="3">
        <v>107</v>
      </c>
      <c r="C769" s="6">
        <v>2.077</v>
      </c>
      <c r="G769" s="8">
        <f t="shared" si="36"/>
        <v>0</v>
      </c>
      <c r="H769" s="8">
        <f t="shared" si="37"/>
        <v>0</v>
      </c>
      <c r="I769" s="8">
        <f t="shared" si="38"/>
        <v>0</v>
      </c>
    </row>
    <row r="770" spans="1:9">
      <c r="A770" s="2" t="s">
        <v>773</v>
      </c>
      <c r="B770" s="3">
        <v>120</v>
      </c>
      <c r="C770" s="6">
        <v>2.1749999999999998</v>
      </c>
      <c r="G770" s="8">
        <f t="shared" ref="G770:G823" si="39">MROUND($E770*1.3,0.05)</f>
        <v>0</v>
      </c>
      <c r="H770" s="8">
        <f t="shared" ref="H770:H823" si="40">MROUND($E770*1.5,0.05)</f>
        <v>0</v>
      </c>
      <c r="I770" s="8">
        <f t="shared" ref="I770:I823" si="41">MROUND($E770*2,0.05)</f>
        <v>0</v>
      </c>
    </row>
    <row r="771" spans="1:9">
      <c r="A771" s="2" t="s">
        <v>774</v>
      </c>
      <c r="B771" s="3">
        <v>129</v>
      </c>
      <c r="C771" s="6">
        <v>2.2719999999999998</v>
      </c>
      <c r="G771" s="8">
        <f t="shared" si="39"/>
        <v>0</v>
      </c>
      <c r="H771" s="8">
        <f t="shared" si="40"/>
        <v>0</v>
      </c>
      <c r="I771" s="8">
        <f t="shared" si="41"/>
        <v>0</v>
      </c>
    </row>
    <row r="772" spans="1:9">
      <c r="A772" s="2" t="s">
        <v>775</v>
      </c>
      <c r="B772" s="3">
        <v>138</v>
      </c>
      <c r="C772" s="6">
        <v>2.3690000000000002</v>
      </c>
      <c r="G772" s="8">
        <f t="shared" si="39"/>
        <v>0</v>
      </c>
      <c r="H772" s="8">
        <f t="shared" si="40"/>
        <v>0</v>
      </c>
      <c r="I772" s="8">
        <f t="shared" si="41"/>
        <v>0</v>
      </c>
    </row>
    <row r="773" spans="1:9">
      <c r="A773" s="2" t="s">
        <v>776</v>
      </c>
      <c r="B773" s="3">
        <v>150</v>
      </c>
      <c r="C773" s="6">
        <v>2.468</v>
      </c>
      <c r="G773" s="8">
        <f t="shared" si="39"/>
        <v>0</v>
      </c>
      <c r="H773" s="8">
        <f t="shared" si="40"/>
        <v>0</v>
      </c>
      <c r="I773" s="8">
        <f t="shared" si="41"/>
        <v>0</v>
      </c>
    </row>
    <row r="774" spans="1:9">
      <c r="A774" s="2" t="s">
        <v>777</v>
      </c>
      <c r="B774" s="3">
        <v>172</v>
      </c>
      <c r="C774" s="6">
        <v>2.66</v>
      </c>
      <c r="G774" s="8">
        <f t="shared" si="39"/>
        <v>0</v>
      </c>
      <c r="H774" s="8">
        <f t="shared" si="40"/>
        <v>0</v>
      </c>
      <c r="I774" s="8">
        <f t="shared" si="41"/>
        <v>0</v>
      </c>
    </row>
    <row r="775" spans="1:9">
      <c r="A775" s="2" t="s">
        <v>778</v>
      </c>
      <c r="B775" s="3">
        <v>198</v>
      </c>
      <c r="C775" s="6">
        <v>2.8580000000000001</v>
      </c>
      <c r="G775" s="8">
        <f t="shared" si="39"/>
        <v>0</v>
      </c>
      <c r="H775" s="8">
        <f t="shared" si="40"/>
        <v>0</v>
      </c>
      <c r="I775" s="8">
        <f t="shared" si="41"/>
        <v>0</v>
      </c>
    </row>
    <row r="776" spans="1:9">
      <c r="A776" s="2" t="s">
        <v>779</v>
      </c>
      <c r="B776" s="3">
        <v>222</v>
      </c>
      <c r="C776" s="6">
        <v>3.056</v>
      </c>
      <c r="G776" s="8">
        <f t="shared" si="39"/>
        <v>0</v>
      </c>
      <c r="H776" s="8">
        <f t="shared" si="40"/>
        <v>0</v>
      </c>
      <c r="I776" s="8">
        <f t="shared" si="41"/>
        <v>0</v>
      </c>
    </row>
    <row r="777" spans="1:9">
      <c r="A777" s="2" t="s">
        <v>780</v>
      </c>
      <c r="B777" s="3">
        <v>337</v>
      </c>
      <c r="C777" s="6">
        <v>2.407</v>
      </c>
      <c r="G777" s="8">
        <f t="shared" si="39"/>
        <v>0</v>
      </c>
      <c r="H777" s="8">
        <f t="shared" si="40"/>
        <v>0</v>
      </c>
      <c r="I777" s="8">
        <f t="shared" si="41"/>
        <v>0</v>
      </c>
    </row>
    <row r="778" spans="1:9">
      <c r="A778" s="2" t="s">
        <v>781</v>
      </c>
      <c r="B778" s="3">
        <v>399</v>
      </c>
      <c r="C778" s="6">
        <v>2.4500000000000002</v>
      </c>
      <c r="G778" s="8">
        <f t="shared" si="39"/>
        <v>0</v>
      </c>
      <c r="H778" s="8">
        <f t="shared" si="40"/>
        <v>0</v>
      </c>
      <c r="I778" s="8">
        <f t="shared" si="41"/>
        <v>0</v>
      </c>
    </row>
    <row r="779" spans="1:9">
      <c r="A779" s="2" t="s">
        <v>782</v>
      </c>
      <c r="B779" s="3">
        <v>343</v>
      </c>
      <c r="C779" s="6">
        <v>2.5</v>
      </c>
      <c r="G779" s="8">
        <f t="shared" si="39"/>
        <v>0</v>
      </c>
      <c r="H779" s="8">
        <f t="shared" si="40"/>
        <v>0</v>
      </c>
      <c r="I779" s="8">
        <f t="shared" si="41"/>
        <v>0</v>
      </c>
    </row>
    <row r="780" spans="1:9">
      <c r="A780" s="2" t="s">
        <v>783</v>
      </c>
      <c r="B780" s="3">
        <v>407</v>
      </c>
      <c r="C780" s="6">
        <v>2.5430000000000001</v>
      </c>
      <c r="G780" s="8">
        <f t="shared" si="39"/>
        <v>0</v>
      </c>
      <c r="H780" s="8">
        <f t="shared" si="40"/>
        <v>0</v>
      </c>
      <c r="I780" s="8">
        <f t="shared" si="41"/>
        <v>0</v>
      </c>
    </row>
    <row r="781" spans="1:9">
      <c r="A781" s="2" t="s">
        <v>784</v>
      </c>
      <c r="B781" s="3">
        <v>352</v>
      </c>
      <c r="C781" s="6">
        <v>2.5920000000000001</v>
      </c>
      <c r="G781" s="8">
        <f t="shared" si="39"/>
        <v>0</v>
      </c>
      <c r="H781" s="8">
        <f t="shared" si="40"/>
        <v>0</v>
      </c>
      <c r="I781" s="8">
        <f t="shared" si="41"/>
        <v>0</v>
      </c>
    </row>
    <row r="782" spans="1:9">
      <c r="A782" s="2" t="s">
        <v>785</v>
      </c>
      <c r="B782" s="3">
        <v>418</v>
      </c>
      <c r="C782" s="6">
        <v>2.6349999999999998</v>
      </c>
      <c r="G782" s="8">
        <f t="shared" si="39"/>
        <v>0</v>
      </c>
      <c r="H782" s="8">
        <f t="shared" si="40"/>
        <v>0</v>
      </c>
      <c r="I782" s="8">
        <f t="shared" si="41"/>
        <v>0</v>
      </c>
    </row>
    <row r="783" spans="1:9">
      <c r="A783" s="2" t="s">
        <v>786</v>
      </c>
      <c r="B783" s="3">
        <v>373</v>
      </c>
      <c r="C783" s="6">
        <v>2.782</v>
      </c>
      <c r="G783" s="8">
        <f t="shared" si="39"/>
        <v>0</v>
      </c>
      <c r="H783" s="8">
        <f t="shared" si="40"/>
        <v>0</v>
      </c>
      <c r="I783" s="8">
        <f t="shared" si="41"/>
        <v>0</v>
      </c>
    </row>
    <row r="784" spans="1:9">
      <c r="A784" s="2" t="s">
        <v>787</v>
      </c>
      <c r="B784" s="3">
        <v>444</v>
      </c>
      <c r="C784" s="6">
        <v>2.8239999999999998</v>
      </c>
      <c r="G784" s="8">
        <f t="shared" si="39"/>
        <v>0</v>
      </c>
      <c r="H784" s="8">
        <f t="shared" si="40"/>
        <v>0</v>
      </c>
      <c r="I784" s="8">
        <f t="shared" si="41"/>
        <v>0</v>
      </c>
    </row>
    <row r="785" spans="1:9">
      <c r="A785" s="2" t="s">
        <v>788</v>
      </c>
      <c r="B785" s="3">
        <v>391</v>
      </c>
      <c r="C785" s="6">
        <v>2.97</v>
      </c>
      <c r="G785" s="8">
        <f t="shared" si="39"/>
        <v>0</v>
      </c>
      <c r="H785" s="8">
        <f t="shared" si="40"/>
        <v>0</v>
      </c>
      <c r="I785" s="8">
        <f t="shared" si="41"/>
        <v>0</v>
      </c>
    </row>
    <row r="786" spans="1:9">
      <c r="A786" s="2" t="s">
        <v>789</v>
      </c>
      <c r="B786" s="3">
        <v>466</v>
      </c>
      <c r="C786" s="6">
        <v>3.012</v>
      </c>
      <c r="G786" s="8">
        <f t="shared" si="39"/>
        <v>0</v>
      </c>
      <c r="H786" s="8">
        <f t="shared" si="40"/>
        <v>0</v>
      </c>
      <c r="I786" s="8">
        <f t="shared" si="41"/>
        <v>0</v>
      </c>
    </row>
    <row r="787" spans="1:9">
      <c r="A787" s="2" t="s">
        <v>790</v>
      </c>
      <c r="B787" s="3">
        <v>393</v>
      </c>
      <c r="C787" s="6">
        <v>3.1440000000000001</v>
      </c>
      <c r="G787" s="8">
        <f t="shared" si="39"/>
        <v>0</v>
      </c>
      <c r="H787" s="8">
        <f t="shared" si="40"/>
        <v>0</v>
      </c>
      <c r="I787" s="8">
        <f t="shared" si="41"/>
        <v>0</v>
      </c>
    </row>
    <row r="788" spans="1:9">
      <c r="A788" s="2" t="s">
        <v>791</v>
      </c>
      <c r="B788" s="3">
        <v>409</v>
      </c>
      <c r="C788" s="6">
        <v>3.1619999999999999</v>
      </c>
      <c r="G788" s="8">
        <f t="shared" si="39"/>
        <v>0</v>
      </c>
      <c r="H788" s="8">
        <f t="shared" si="40"/>
        <v>0</v>
      </c>
      <c r="I788" s="8">
        <f t="shared" si="41"/>
        <v>0</v>
      </c>
    </row>
    <row r="789" spans="1:9">
      <c r="A789" s="2" t="s">
        <v>792</v>
      </c>
      <c r="B789" s="3">
        <v>488</v>
      </c>
      <c r="C789" s="6">
        <v>3.2040000000000002</v>
      </c>
      <c r="G789" s="8">
        <f t="shared" si="39"/>
        <v>0</v>
      </c>
      <c r="H789" s="8">
        <f t="shared" si="40"/>
        <v>0</v>
      </c>
      <c r="I789" s="8">
        <f t="shared" si="41"/>
        <v>0</v>
      </c>
    </row>
    <row r="790" spans="1:9">
      <c r="A790" s="2" t="s">
        <v>793</v>
      </c>
      <c r="B790" s="3">
        <v>579</v>
      </c>
      <c r="C790" s="6">
        <v>3.254</v>
      </c>
      <c r="G790" s="8">
        <f t="shared" si="39"/>
        <v>0</v>
      </c>
      <c r="H790" s="8">
        <f t="shared" si="40"/>
        <v>0</v>
      </c>
      <c r="I790" s="8">
        <f t="shared" si="41"/>
        <v>0</v>
      </c>
    </row>
    <row r="791" spans="1:9">
      <c r="A791" s="2" t="s">
        <v>794</v>
      </c>
      <c r="B791" s="3">
        <v>6.9</v>
      </c>
      <c r="C791" s="6">
        <v>0.39700000000000002</v>
      </c>
      <c r="G791" s="8">
        <f t="shared" si="39"/>
        <v>0</v>
      </c>
      <c r="H791" s="8">
        <f t="shared" si="40"/>
        <v>0</v>
      </c>
      <c r="I791" s="8">
        <f t="shared" si="41"/>
        <v>0</v>
      </c>
    </row>
    <row r="792" spans="1:9">
      <c r="A792" s="2" t="s">
        <v>795</v>
      </c>
      <c r="B792" s="3">
        <v>8.6999999999999993</v>
      </c>
      <c r="C792" s="6">
        <v>0.47199999999999998</v>
      </c>
      <c r="G792" s="8">
        <f t="shared" si="39"/>
        <v>0</v>
      </c>
      <c r="H792" s="8">
        <f t="shared" si="40"/>
        <v>0</v>
      </c>
      <c r="I792" s="8">
        <f t="shared" si="41"/>
        <v>0</v>
      </c>
    </row>
    <row r="793" spans="1:9">
      <c r="A793" s="2" t="s">
        <v>796</v>
      </c>
      <c r="B793" s="3">
        <v>10.5</v>
      </c>
      <c r="C793" s="6">
        <v>0.54700000000000004</v>
      </c>
      <c r="G793" s="8">
        <f t="shared" si="39"/>
        <v>0</v>
      </c>
      <c r="H793" s="8">
        <f t="shared" si="40"/>
        <v>0</v>
      </c>
      <c r="I793" s="8">
        <f t="shared" si="41"/>
        <v>0</v>
      </c>
    </row>
    <row r="794" spans="1:9">
      <c r="A794" s="2" t="s">
        <v>797</v>
      </c>
      <c r="B794" s="3">
        <v>12.7</v>
      </c>
      <c r="C794" s="6">
        <v>0.61899999999999999</v>
      </c>
      <c r="G794" s="8">
        <f t="shared" si="39"/>
        <v>0</v>
      </c>
      <c r="H794" s="8">
        <f t="shared" si="40"/>
        <v>0</v>
      </c>
      <c r="I794" s="8">
        <f t="shared" si="41"/>
        <v>0</v>
      </c>
    </row>
    <row r="795" spans="1:9">
      <c r="A795" s="2" t="s">
        <v>798</v>
      </c>
      <c r="B795" s="3">
        <v>15.4</v>
      </c>
      <c r="C795" s="6">
        <v>0.69399999999999995</v>
      </c>
      <c r="G795" s="8">
        <f t="shared" si="39"/>
        <v>0</v>
      </c>
      <c r="H795" s="8">
        <f t="shared" si="40"/>
        <v>0</v>
      </c>
      <c r="I795" s="8">
        <f t="shared" si="41"/>
        <v>0</v>
      </c>
    </row>
    <row r="796" spans="1:9">
      <c r="A796" s="2" t="s">
        <v>799</v>
      </c>
      <c r="B796" s="3">
        <v>18.399999999999999</v>
      </c>
      <c r="C796" s="6">
        <v>0.76400000000000001</v>
      </c>
      <c r="G796" s="8">
        <f t="shared" si="39"/>
        <v>0</v>
      </c>
      <c r="H796" s="8">
        <f t="shared" si="40"/>
        <v>0</v>
      </c>
      <c r="I796" s="8">
        <f t="shared" si="41"/>
        <v>0</v>
      </c>
    </row>
    <row r="797" spans="1:9">
      <c r="A797" s="2" t="s">
        <v>800</v>
      </c>
      <c r="B797" s="3">
        <v>22.2</v>
      </c>
      <c r="C797" s="6">
        <v>0.84299999999999997</v>
      </c>
      <c r="G797" s="8">
        <f t="shared" si="39"/>
        <v>0</v>
      </c>
      <c r="H797" s="8">
        <f t="shared" si="40"/>
        <v>0</v>
      </c>
      <c r="I797" s="8">
        <f t="shared" si="41"/>
        <v>0</v>
      </c>
    </row>
    <row r="798" spans="1:9">
      <c r="A798" s="2" t="s">
        <v>801</v>
      </c>
      <c r="B798" s="3">
        <v>26.2</v>
      </c>
      <c r="C798" s="6">
        <v>0.91800000000000004</v>
      </c>
      <c r="G798" s="8">
        <f t="shared" si="39"/>
        <v>0</v>
      </c>
      <c r="H798" s="8">
        <f t="shared" si="40"/>
        <v>0</v>
      </c>
      <c r="I798" s="8">
        <f t="shared" si="41"/>
        <v>0</v>
      </c>
    </row>
    <row r="799" spans="1:9">
      <c r="A799" s="2" t="s">
        <v>802</v>
      </c>
      <c r="B799" s="3">
        <v>30.7</v>
      </c>
      <c r="C799" s="6">
        <v>1.0369999999999999</v>
      </c>
      <c r="G799" s="8">
        <f t="shared" si="39"/>
        <v>0</v>
      </c>
      <c r="H799" s="8">
        <f t="shared" si="40"/>
        <v>0</v>
      </c>
      <c r="I799" s="8">
        <f t="shared" si="41"/>
        <v>0</v>
      </c>
    </row>
    <row r="800" spans="1:9">
      <c r="A800" s="2" t="s">
        <v>803</v>
      </c>
      <c r="B800" s="3">
        <v>36.5</v>
      </c>
      <c r="C800" s="6">
        <v>1.1559999999999999</v>
      </c>
      <c r="G800" s="8">
        <f t="shared" si="39"/>
        <v>0</v>
      </c>
      <c r="H800" s="8">
        <f t="shared" si="40"/>
        <v>0</v>
      </c>
      <c r="I800" s="8">
        <f t="shared" si="41"/>
        <v>0</v>
      </c>
    </row>
    <row r="801" spans="1:9">
      <c r="A801" s="2" t="s">
        <v>804</v>
      </c>
      <c r="B801" s="3">
        <v>43</v>
      </c>
      <c r="C801" s="6">
        <v>1.25</v>
      </c>
      <c r="G801" s="8">
        <f t="shared" si="39"/>
        <v>0</v>
      </c>
      <c r="H801" s="8">
        <f t="shared" si="40"/>
        <v>0</v>
      </c>
      <c r="I801" s="8">
        <f t="shared" si="41"/>
        <v>0</v>
      </c>
    </row>
    <row r="802" spans="1:9">
      <c r="A802" s="2" t="s">
        <v>805</v>
      </c>
      <c r="B802" s="3">
        <v>50.2</v>
      </c>
      <c r="C802" s="6">
        <v>1.351</v>
      </c>
      <c r="G802" s="8">
        <f t="shared" si="39"/>
        <v>0</v>
      </c>
      <c r="H802" s="8">
        <f t="shared" si="40"/>
        <v>0</v>
      </c>
      <c r="I802" s="8">
        <f t="shared" si="41"/>
        <v>0</v>
      </c>
    </row>
    <row r="803" spans="1:9">
      <c r="A803" s="2" t="s">
        <v>806</v>
      </c>
      <c r="B803" s="3">
        <v>57.4</v>
      </c>
      <c r="C803" s="6">
        <v>1.464</v>
      </c>
      <c r="G803" s="8">
        <f t="shared" si="39"/>
        <v>0</v>
      </c>
      <c r="H803" s="8">
        <f t="shared" si="40"/>
        <v>0</v>
      </c>
      <c r="I803" s="8">
        <f t="shared" si="41"/>
        <v>0</v>
      </c>
    </row>
    <row r="804" spans="1:9">
      <c r="A804" s="2" t="s">
        <v>807</v>
      </c>
      <c r="B804" s="3">
        <v>67.2</v>
      </c>
      <c r="C804" s="6">
        <v>1.603</v>
      </c>
      <c r="G804" s="8">
        <f t="shared" si="39"/>
        <v>0</v>
      </c>
      <c r="H804" s="8">
        <f t="shared" si="40"/>
        <v>0</v>
      </c>
      <c r="I804" s="8">
        <f t="shared" si="41"/>
        <v>0</v>
      </c>
    </row>
    <row r="805" spans="1:9">
      <c r="A805" s="2" t="s">
        <v>808</v>
      </c>
      <c r="B805" s="3">
        <v>79.400000000000006</v>
      </c>
      <c r="C805" s="6">
        <v>1.7410000000000001</v>
      </c>
      <c r="G805" s="8">
        <f t="shared" si="39"/>
        <v>0</v>
      </c>
      <c r="H805" s="8">
        <f t="shared" si="40"/>
        <v>0</v>
      </c>
      <c r="I805" s="8">
        <f t="shared" si="41"/>
        <v>0</v>
      </c>
    </row>
    <row r="806" spans="1:9">
      <c r="A806" s="2" t="s">
        <v>809</v>
      </c>
      <c r="B806" s="3">
        <v>92.1</v>
      </c>
      <c r="C806" s="6">
        <v>1.875</v>
      </c>
      <c r="G806" s="8">
        <f t="shared" si="39"/>
        <v>0</v>
      </c>
      <c r="H806" s="8">
        <f t="shared" si="40"/>
        <v>0</v>
      </c>
      <c r="I806" s="8">
        <f t="shared" si="41"/>
        <v>0</v>
      </c>
    </row>
    <row r="807" spans="1:9">
      <c r="A807" s="2" t="s">
        <v>810</v>
      </c>
      <c r="B807" s="3">
        <v>108</v>
      </c>
      <c r="C807" s="6">
        <v>2.0129999999999999</v>
      </c>
      <c r="G807" s="8">
        <f t="shared" si="39"/>
        <v>0</v>
      </c>
      <c r="H807" s="8">
        <f t="shared" si="40"/>
        <v>0</v>
      </c>
      <c r="I807" s="8">
        <f t="shared" si="41"/>
        <v>0</v>
      </c>
    </row>
    <row r="808" spans="1:9">
      <c r="A808" s="2" t="s">
        <v>811</v>
      </c>
      <c r="B808" s="3">
        <v>21.3</v>
      </c>
      <c r="C808" s="6">
        <v>0.70499999999999996</v>
      </c>
      <c r="G808" s="8">
        <f t="shared" si="39"/>
        <v>0</v>
      </c>
      <c r="H808" s="8">
        <f t="shared" si="40"/>
        <v>0</v>
      </c>
      <c r="I808" s="8">
        <f t="shared" si="41"/>
        <v>0</v>
      </c>
    </row>
    <row r="809" spans="1:9">
      <c r="A809" s="2" t="s">
        <v>812</v>
      </c>
      <c r="B809" s="3">
        <v>25.1</v>
      </c>
      <c r="C809" s="6">
        <v>0.77900000000000003</v>
      </c>
      <c r="G809" s="8">
        <f t="shared" si="39"/>
        <v>0</v>
      </c>
      <c r="H809" s="8">
        <f t="shared" si="40"/>
        <v>0</v>
      </c>
      <c r="I809" s="8">
        <f t="shared" si="41"/>
        <v>0</v>
      </c>
    </row>
    <row r="810" spans="1:9">
      <c r="A810" s="2" t="s">
        <v>813</v>
      </c>
      <c r="B810" s="3">
        <v>29.4</v>
      </c>
      <c r="C810" s="6">
        <v>0.85799999999999998</v>
      </c>
      <c r="G810" s="8">
        <f t="shared" si="39"/>
        <v>0</v>
      </c>
      <c r="H810" s="8">
        <f t="shared" si="40"/>
        <v>0</v>
      </c>
      <c r="I810" s="8">
        <f t="shared" si="41"/>
        <v>0</v>
      </c>
    </row>
    <row r="811" spans="1:9">
      <c r="A811" s="2" t="s">
        <v>814</v>
      </c>
      <c r="B811" s="3">
        <v>34.299999999999997</v>
      </c>
      <c r="C811" s="6">
        <v>0.93200000000000005</v>
      </c>
      <c r="G811" s="8">
        <f t="shared" si="39"/>
        <v>0</v>
      </c>
      <c r="H811" s="8">
        <f t="shared" si="40"/>
        <v>0</v>
      </c>
      <c r="I811" s="8">
        <f t="shared" si="41"/>
        <v>0</v>
      </c>
    </row>
    <row r="812" spans="1:9">
      <c r="A812" s="2" t="s">
        <v>815</v>
      </c>
      <c r="B812" s="3">
        <v>42.3</v>
      </c>
      <c r="C812" s="6">
        <v>1.0509999999999999</v>
      </c>
      <c r="G812" s="8">
        <f t="shared" si="39"/>
        <v>0</v>
      </c>
      <c r="H812" s="8">
        <f t="shared" si="40"/>
        <v>0</v>
      </c>
      <c r="I812" s="8">
        <f t="shared" si="41"/>
        <v>0</v>
      </c>
    </row>
    <row r="813" spans="1:9">
      <c r="A813" s="2" t="s">
        <v>816</v>
      </c>
      <c r="B813" s="3">
        <v>49.3</v>
      </c>
      <c r="C813" s="6">
        <v>1.1739999999999999</v>
      </c>
      <c r="G813" s="8">
        <f t="shared" si="39"/>
        <v>0</v>
      </c>
      <c r="H813" s="8">
        <f t="shared" si="40"/>
        <v>0</v>
      </c>
      <c r="I813" s="8">
        <f t="shared" si="41"/>
        <v>0</v>
      </c>
    </row>
    <row r="814" spans="1:9">
      <c r="A814" s="2" t="s">
        <v>817</v>
      </c>
      <c r="B814" s="3">
        <v>57</v>
      </c>
      <c r="C814" s="6">
        <v>1.268</v>
      </c>
      <c r="G814" s="8">
        <f t="shared" si="39"/>
        <v>0</v>
      </c>
      <c r="H814" s="8">
        <f t="shared" si="40"/>
        <v>0</v>
      </c>
      <c r="I814" s="8">
        <f t="shared" si="41"/>
        <v>0</v>
      </c>
    </row>
    <row r="815" spans="1:9">
      <c r="A815" s="2" t="s">
        <v>818</v>
      </c>
      <c r="B815" s="3">
        <v>66</v>
      </c>
      <c r="C815" s="6">
        <v>1.367</v>
      </c>
      <c r="G815" s="8">
        <f t="shared" si="39"/>
        <v>0</v>
      </c>
      <c r="H815" s="8">
        <f t="shared" si="40"/>
        <v>0</v>
      </c>
      <c r="I815" s="8">
        <f t="shared" si="41"/>
        <v>0</v>
      </c>
    </row>
    <row r="816" spans="1:9">
      <c r="A816" s="2" t="s">
        <v>819</v>
      </c>
      <c r="B816" s="3">
        <v>75.7</v>
      </c>
      <c r="C816" s="6">
        <v>1.4810000000000001</v>
      </c>
      <c r="G816" s="8">
        <f t="shared" si="39"/>
        <v>0</v>
      </c>
      <c r="H816" s="8">
        <f t="shared" si="40"/>
        <v>0</v>
      </c>
      <c r="I816" s="8">
        <f t="shared" si="41"/>
        <v>0</v>
      </c>
    </row>
    <row r="817" spans="1:9">
      <c r="A817" s="2" t="s">
        <v>820</v>
      </c>
      <c r="B817" s="3">
        <v>92.4</v>
      </c>
      <c r="C817" s="6">
        <v>1.6220000000000001</v>
      </c>
      <c r="G817" s="8">
        <f t="shared" si="39"/>
        <v>0</v>
      </c>
      <c r="H817" s="8">
        <f t="shared" si="40"/>
        <v>0</v>
      </c>
      <c r="I817" s="8">
        <f t="shared" si="41"/>
        <v>0</v>
      </c>
    </row>
    <row r="818" spans="1:9">
      <c r="A818" s="2" t="s">
        <v>821</v>
      </c>
      <c r="B818" s="3">
        <v>107</v>
      </c>
      <c r="C818" s="6">
        <v>1.76</v>
      </c>
      <c r="G818" s="8">
        <f t="shared" si="39"/>
        <v>0</v>
      </c>
      <c r="H818" s="8">
        <f t="shared" si="40"/>
        <v>0</v>
      </c>
      <c r="I818" s="8">
        <f t="shared" si="41"/>
        <v>0</v>
      </c>
    </row>
    <row r="819" spans="1:9">
      <c r="A819" s="2" t="s">
        <v>822</v>
      </c>
      <c r="B819" s="3">
        <v>123</v>
      </c>
      <c r="C819" s="6">
        <v>1.893</v>
      </c>
      <c r="G819" s="8">
        <f t="shared" si="39"/>
        <v>0</v>
      </c>
      <c r="H819" s="8">
        <f t="shared" si="40"/>
        <v>0</v>
      </c>
      <c r="I819" s="8">
        <f t="shared" si="41"/>
        <v>0</v>
      </c>
    </row>
    <row r="820" spans="1:9">
      <c r="A820" s="2" t="s">
        <v>823</v>
      </c>
      <c r="B820" s="3">
        <v>154</v>
      </c>
      <c r="C820" s="6">
        <v>2.0449999999999999</v>
      </c>
      <c r="G820" s="8">
        <f t="shared" si="39"/>
        <v>0</v>
      </c>
      <c r="H820" s="8">
        <f t="shared" si="40"/>
        <v>0</v>
      </c>
      <c r="I820" s="8">
        <f t="shared" si="41"/>
        <v>0</v>
      </c>
    </row>
    <row r="821" spans="1:9">
      <c r="A821" s="2" t="s">
        <v>824</v>
      </c>
      <c r="B821" s="3">
        <v>147</v>
      </c>
      <c r="C821" s="6">
        <v>2.5099999999999998</v>
      </c>
      <c r="G821" s="8">
        <f t="shared" si="39"/>
        <v>0</v>
      </c>
      <c r="H821" s="8">
        <f t="shared" si="40"/>
        <v>0</v>
      </c>
      <c r="I821" s="8">
        <f t="shared" si="41"/>
        <v>0</v>
      </c>
    </row>
    <row r="822" spans="1:9">
      <c r="A822" s="2" t="s">
        <v>825</v>
      </c>
      <c r="B822" s="3">
        <v>173</v>
      </c>
      <c r="C822" s="6">
        <v>2.5339999999999998</v>
      </c>
      <c r="G822" s="8">
        <f t="shared" si="39"/>
        <v>0</v>
      </c>
      <c r="H822" s="8">
        <f t="shared" si="40"/>
        <v>0</v>
      </c>
      <c r="I822" s="8">
        <f t="shared" si="41"/>
        <v>0</v>
      </c>
    </row>
    <row r="823" spans="1:9">
      <c r="A823" s="2" t="s">
        <v>826</v>
      </c>
      <c r="B823" s="3">
        <v>196</v>
      </c>
      <c r="C823" s="6">
        <v>2.552</v>
      </c>
      <c r="G823" s="8">
        <f t="shared" si="39"/>
        <v>0</v>
      </c>
      <c r="H823" s="8">
        <f t="shared" si="40"/>
        <v>0</v>
      </c>
      <c r="I823" s="8">
        <f t="shared" si="41"/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Muluken Gebreyes | Calcula</dc:creator>
  <cp:lastModifiedBy>Muluken Teshome Gebreyes</cp:lastModifiedBy>
  <dcterms:created xsi:type="dcterms:W3CDTF">2026-04-03T08:15:59Z</dcterms:created>
  <dcterms:modified xsi:type="dcterms:W3CDTF">2026-04-04T15:39:08Z</dcterms:modified>
</cp:coreProperties>
</file>